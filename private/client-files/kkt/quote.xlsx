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" sheetId="1" state="visible" r:id="rId3"/>
    <sheet name="원가계산서" sheetId="2" state="visible" r:id="rId4"/>
    <sheet name="산출근거" sheetId="3" state="visible" r:id="rId5"/>
    <sheet name="도비" sheetId="4" state="visible" r:id="rId6"/>
    <sheet name="용접" sheetId="5" state="visible" r:id="rId7"/>
    <sheet name="베이스" sheetId="6" state="visible" r:id="rId8"/>
    <sheet name="베이스자재" sheetId="7" state="visible" r:id="rId9"/>
    <sheet name="공정표" sheetId="8" state="visible" r:id="rId10"/>
  </sheets>
  <definedNames>
    <definedName function="false" hidden="false" localSheetId="0" name="_xlnm.Print_Titles" vbProcedure="false">견적서!$16:$16</definedName>
    <definedName function="false" hidden="false" localSheetId="3" name="_xlnm.Print_Titles" vbProcedure="false">도비!$7:$7</definedName>
    <definedName function="false" hidden="false" localSheetId="5" name="_xlnm.Print_Titles" vbProcedure="false">베이스!$7:$7</definedName>
    <definedName function="false" hidden="false" localSheetId="2" name="_xlnm.Print_Titles" vbProcedure="false">산출근거!$4:$4</definedName>
    <definedName function="false" hidden="false" localSheetId="4" name="_xlnm.Print_Titles" vbProcedure="false">용접!$7:$7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<sst xmlns="http://schemas.openxmlformats.org/spreadsheetml/2006/main" count="622" uniqueCount="280">
  <si>
    <t xml:space="preserve">N M   S O L U T I O N</t>
  </si>
  <si>
    <t xml:space="preserve">견적일자</t>
  </si>
  <si>
    <t xml:space="preserve">2026-10-19</t>
  </si>
  <si>
    <t xml:space="preserve">견  적  서</t>
  </si>
  <si>
    <t xml:space="preserve">견적번호</t>
  </si>
  <si>
    <t xml:space="preserve">NM-2610-01</t>
  </si>
  <si>
    <t xml:space="preserve">수신</t>
  </si>
  <si>
    <t xml:space="preserve">공급자</t>
  </si>
  <si>
    <t xml:space="preserve">업체명</t>
  </si>
  <si>
    <t xml:space="preserve">주식회사 금강변압기</t>
  </si>
  <si>
    <t xml:space="preserve">상호</t>
  </si>
  <si>
    <t xml:space="preserve">엔엠솔루션 (NM SOLUTION)</t>
  </si>
  <si>
    <t xml:space="preserve">담당자</t>
  </si>
  <si>
    <t xml:space="preserve">대표</t>
  </si>
  <si>
    <t xml:space="preserve">김성배</t>
  </si>
  <si>
    <t xml:space="preserve">연락처</t>
  </si>
  <si>
    <t xml:space="preserve">주소</t>
  </si>
  <si>
    <t xml:space="preserve">경기도 평택시 고덕동 도시지원로 121 지식공장아이타워 906호</t>
  </si>
  <si>
    <t xml:space="preserve">현장 주소</t>
  </si>
  <si>
    <t xml:space="preserve">경기 화성시 마도면 마도공단로1길 214 (사내 마당)</t>
  </si>
  <si>
    <t xml:space="preserve">전화</t>
  </si>
  <si>
    <t xml:space="preserve">대표 1800-5901  /  직통 010-2369-3691</t>
  </si>
  <si>
    <t xml:space="preserve">공사명</t>
  </si>
  <si>
    <t xml:space="preserve">진공건조로 2분할체 회전·안착, 임시 베이스 제작, 접합부 사상·용접 공사</t>
  </si>
  <si>
    <t xml:space="preserve">홈페이지</t>
  </si>
  <si>
    <t xml:space="preserve">nm-solution.co.kr</t>
  </si>
  <si>
    <t xml:space="preserve">사업자등록번호</t>
  </si>
  <si>
    <t xml:space="preserve">견적금액  일금 육천삼백육십삼만육천삼백육십사원정  (₩ 63,636,364, VAT 별도)</t>
  </si>
  <si>
    <t xml:space="preserve">견적 내역</t>
  </si>
  <si>
    <t xml:space="preserve">번호</t>
  </si>
  <si>
    <t xml:space="preserve">품명</t>
  </si>
  <si>
    <t xml:space="preserve">규격</t>
  </si>
  <si>
    <t xml:space="preserve">수량</t>
  </si>
  <si>
    <t xml:space="preserve">단위</t>
  </si>
  <si>
    <t xml:space="preserve">단가</t>
  </si>
  <si>
    <t xml:space="preserve">금액</t>
  </si>
  <si>
    <t xml:space="preserve">비고</t>
  </si>
  <si>
    <t xml:space="preserve">도비 작업: 회전·베이스 안착, 밀착, 완성품 이동 (250t 1대), 안전펜스</t>
  </si>
  <si>
    <t xml:space="preserve">도비 전문기공</t>
  </si>
  <si>
    <t xml:space="preserve">회전·안착·밀착·완성품 이동</t>
  </si>
  <si>
    <t xml:space="preserve">안착일 6명 + 밀착 6명·3명 + 이동일 6명 (6, 6, 3, 6)</t>
  </si>
  <si>
    <t xml:space="preserve">신호수</t>
  </si>
  <si>
    <t xml:space="preserve">크레인 인양 신호</t>
  </si>
  <si>
    <t xml:space="preserve">2명 × 2일 (안착일 + 이동일)</t>
  </si>
  <si>
    <t xml:space="preserve">안전담당 (관리감독자)</t>
  </si>
  <si>
    <t xml:space="preserve">작업 전 TBM·인양구역 통제</t>
  </si>
  <si>
    <t xml:space="preserve">1명 × 4일</t>
  </si>
  <si>
    <t xml:space="preserve">크레인</t>
  </si>
  <si>
    <t xml:space="preserve">250TON</t>
  </si>
  <si>
    <t xml:space="preserve">안착일 1일 + 이동일 1일</t>
  </si>
  <si>
    <t xml:space="preserve">아웃리거 받침 철판</t>
  </si>
  <si>
    <t xml:space="preserve">1,500×1,500×25t, 8매</t>
  </si>
  <si>
    <t xml:space="preserve">아스팔트 지반 보호</t>
  </si>
  <si>
    <t xml:space="preserve">밀착 장비</t>
  </si>
  <si>
    <t xml:space="preserve">유압잭·윈치·스키드</t>
  </si>
  <si>
    <t xml:space="preserve">밀착 2일</t>
  </si>
  <si>
    <t xml:space="preserve">공구사용손료</t>
  </si>
  <si>
    <t xml:space="preserve">도비 전문장비·줄걸이구</t>
  </si>
  <si>
    <t xml:space="preserve">소모품·잡자재</t>
  </si>
  <si>
    <t xml:space="preserve">목재 받침·와이어 보호대 등</t>
  </si>
  <si>
    <t xml:space="preserve">안전펜스 임대</t>
  </si>
  <si>
    <t xml:space="preserve">이동식 메쉬펜스 H1.8×W2.4m</t>
  </si>
  <si>
    <t xml:space="preserve">22매(둘레 50m + 출입문) × 12일</t>
  </si>
  <si>
    <t xml:space="preserve">펜스 설치·해체</t>
  </si>
  <si>
    <t xml:space="preserve">설치 인건비</t>
  </si>
  <si>
    <t xml:space="preserve">설치 2명 × 0.5일 + 해체 2명 × 0.5일</t>
  </si>
  <si>
    <t xml:space="preserve">펜스 운반</t>
  </si>
  <si>
    <t xml:space="preserve">1톤 화물 왕복</t>
  </si>
  <si>
    <t xml:space="preserve">반입 1 + 반출 1</t>
  </si>
  <si>
    <t xml:space="preserve">출입통제 안전장비</t>
  </si>
  <si>
    <t xml:space="preserve">경비</t>
  </si>
  <si>
    <t xml:space="preserve">간식·음료·교통비 등</t>
  </si>
  <si>
    <t xml:space="preserve">법정경비·일반관리비·이윤</t>
  </si>
  <si>
    <t xml:space="preserve">산재·고용보험, 산업안전보건관리비, 일반관리비, 이윤, 단수정리</t>
  </si>
  <si>
    <t xml:space="preserve">식</t>
  </si>
  <si>
    <t xml:space="preserve">원가계산서 참조</t>
  </si>
  <si>
    <t xml:space="preserve">도비 소계</t>
  </si>
  <si>
    <t xml:space="preserve">도비 시트 참조</t>
  </si>
  <si>
    <t xml:space="preserve">용접 작업: 접합면 사상, CO2 용접, 화재감시</t>
  </si>
  <si>
    <t xml:space="preserve">용접사</t>
  </si>
  <si>
    <t xml:space="preserve">CO2 용접 (접합부)</t>
  </si>
  <si>
    <t xml:space="preserve">3명 × 3일</t>
  </si>
  <si>
    <t xml:space="preserve">고급기술자</t>
  </si>
  <si>
    <t xml:space="preserve">제관사 수준 (취부·치수 관리)</t>
  </si>
  <si>
    <t xml:space="preserve">2명 × 3일</t>
  </si>
  <si>
    <t xml:space="preserve">사상 기술자</t>
  </si>
  <si>
    <t xml:space="preserve">접합면 그라인딩</t>
  </si>
  <si>
    <t xml:space="preserve">2명 × 2일</t>
  </si>
  <si>
    <t xml:space="preserve">조공</t>
  </si>
  <si>
    <t xml:space="preserve">사상·용접 보조</t>
  </si>
  <si>
    <t xml:space="preserve">화재감시자</t>
  </si>
  <si>
    <t xml:space="preserve">용접·사상 화기작업 전담</t>
  </si>
  <si>
    <t xml:space="preserve">1명 × 5일 (사상 2 + 용접 3)</t>
  </si>
  <si>
    <t xml:space="preserve">CO2 용접기 대여</t>
  </si>
  <si>
    <t xml:space="preserve">500A급</t>
  </si>
  <si>
    <t xml:space="preserve">3대 × 3일</t>
  </si>
  <si>
    <t xml:space="preserve">그라인더·환기·조명</t>
  </si>
  <si>
    <t xml:space="preserve">송풍기, 투광등 포함</t>
  </si>
  <si>
    <t xml:space="preserve">용접 소모품</t>
  </si>
  <si>
    <t xml:space="preserve">CO2 가스·와이어·디스크·케이블·잡자재</t>
  </si>
  <si>
    <t xml:space="preserve">작업발판 장비 임대</t>
  </si>
  <si>
    <t xml:space="preserve">가스절단기 임대</t>
  </si>
  <si>
    <t xml:space="preserve">산소·LPG, 2대 공정기간 상시</t>
  </si>
  <si>
    <t xml:space="preserve">2대 × 12일</t>
  </si>
  <si>
    <t xml:space="preserve">식대·교통비·부대 잡비</t>
  </si>
  <si>
    <t xml:space="preserve">용접 9 + 고급기술자 6 + 사상 4 + 조공 4 + 화재감시 5</t>
  </si>
  <si>
    <t xml:space="preserve">용접 소계</t>
  </si>
  <si>
    <t xml:space="preserve">용접 시트 참조</t>
  </si>
  <si>
    <t xml:space="preserve">베이스 작업: 기존 철판 조방 위 H빔 베이스 설치·회수</t>
  </si>
  <si>
    <t xml:space="preserve">H빔 (회수조건)</t>
  </si>
  <si>
    <t xml:space="preserve">H-250×250×9×14, 10m 2EA·3m 2EA</t>
  </si>
  <si>
    <t xml:space="preserve">공사 후 회수 조건</t>
  </si>
  <si>
    <t xml:space="preserve">H빔 운반</t>
  </si>
  <si>
    <t xml:space="preserve">반입·회수</t>
  </si>
  <si>
    <t xml:space="preserve">시공자</t>
  </si>
  <si>
    <t xml:space="preserve">베이스 배치·용접·회수</t>
  </si>
  <si>
    <t xml:space="preserve">3명 × 1일</t>
  </si>
  <si>
    <t xml:space="preserve">베이스 소계</t>
  </si>
  <si>
    <t xml:space="preserve">베이스 시트 참조</t>
  </si>
  <si>
    <t xml:space="preserve">공종 합계</t>
  </si>
  <si>
    <t xml:space="preserve">협의 조정</t>
  </si>
  <si>
    <t xml:space="preserve">발주처 협의 금액 반영</t>
  </si>
  <si>
    <t xml:space="preserve">공급가액</t>
  </si>
  <si>
    <t xml:space="preserve">부가세 (10%)</t>
  </si>
  <si>
    <t xml:space="preserve">합계 (VAT 포함)</t>
  </si>
  <si>
    <t xml:space="preserve">특기사항</t>
  </si>
  <si>
    <t xml:space="preserve">1. 공사 기간: 2026.10.21 ~ 2026.11.03 (가정 일정, 작업일 12일, 공정표 시트 참조). 날짜는 가정이며 착공일은 발주처 협의로 확정함.</t>
  </si>
  <si>
    <t xml:space="preserve">2. 결제 조건: 선수금 30% (계약 시), 중도금 30% (회전·안착 완료 시), 잔금 40% (완성품 이동 완료 후). VAT 포함 기준 21,000,000원 / 21,000,000원 / 28,000,000원.</t>
  </si>
  <si>
    <t xml:space="preserve">3. 견적 유효기간: 발행일로부터 30일.</t>
  </si>
  <si>
    <t xml:space="preserve">4. 포함: 임시 베이스 설치·회수, 이동식 크레인(250t 1대)·도비, 접합면 사상, CO2 용접, 화재감시, 완성품 지정 장소 이동, 안전펜스·출입통제.</t>
  </si>
  <si>
    <t xml:space="preserve">5. 제외: 전기 수전, 배관·닥트 해체·복구, 보온, 도장, 비파괴검사(PT/UT), 시운전. 비파괴검사는 발주처 요구 시 별도 정산함.</t>
  </si>
  <si>
    <t xml:space="preserve">6. 크레인 사양·배치는 크레인 업체와 협의해 확정하며, 크레인 변경에 따른 추가비용은 없음.</t>
  </si>
  <si>
    <t xml:space="preserve">7. 연장·야간·휴일 작업은 공정에 따라 당사가 수행하며 추가 정산하지 않음. 기상(우천 시 용접 불가)·발주처 사유에 따른 대기는 별도 협의함.</t>
  </si>
  <si>
    <t xml:space="preserve">8. 작업구역(약 10×15m)은 이동식 안전펜스로 통제하며, 발주처 안전관리 규정과 출입 절차를 따름.</t>
  </si>
  <si>
    <t xml:space="preserve">위와 같이 견적합니다.</t>
  </si>
  <si>
    <t xml:space="preserve">2026년 10월 19일</t>
  </si>
  <si>
    <t xml:space="preserve">엔엠솔루션   대표 김성배   (인)</t>
  </si>
  <si>
    <t xml:space="preserve">엔엠솔루션  |  경기도 평택시 고덕동 도시지원로 121 지식공장아이타워 906호  |  대표전화 1800-5901  |  직통 010-2369-3691  |  nm-solution.co.kr</t>
  </si>
  <si>
    <t xml:space="preserve">공 사 원 가 계 산 서</t>
  </si>
  <si>
    <t xml:space="preserve">공사명 : 진공건조로 회전·안착 및 접합부 용접 공사   |   NM-2610-01</t>
  </si>
  <si>
    <t xml:space="preserve">비목</t>
  </si>
  <si>
    <t xml:space="preserve">도비</t>
  </si>
  <si>
    <t xml:space="preserve">용접</t>
  </si>
  <si>
    <t xml:space="preserve">베이스</t>
  </si>
  <si>
    <t xml:space="preserve">합계</t>
  </si>
  <si>
    <t xml:space="preserve">구성비</t>
  </si>
  <si>
    <t xml:space="preserve">재료비</t>
  </si>
  <si>
    <t xml:space="preserve">노무비</t>
  </si>
  <si>
    <t xml:space="preserve">산재보험료</t>
  </si>
  <si>
    <t xml:space="preserve">고용보험료</t>
  </si>
  <si>
    <t xml:space="preserve">산업안전보건관리비</t>
  </si>
  <si>
    <t xml:space="preserve">순공사원가</t>
  </si>
  <si>
    <t xml:space="preserve">일반관리비</t>
  </si>
  <si>
    <t xml:space="preserve">이윤</t>
  </si>
  <si>
    <t xml:space="preserve">단수정리</t>
  </si>
  <si>
    <t xml:space="preserve">부가가치세 (10%)</t>
  </si>
  <si>
    <t xml:space="preserve">총 공사금액</t>
  </si>
  <si>
    <t xml:space="preserve">요율: 산재 3.56%·고용 1.15% (노무비 기준), 산업안전보건관리비 3.11% ((재료비 + 노무비) 기준), 일반관리비 5% (순공사원가 기준), 이윤 15%. 근거는 아래 적용 요율 표. 베이스 공종은 회수조건 임시 구조물로 재료비·운반비·노무비만 계상함.</t>
  </si>
  <si>
    <t xml:space="preserve">적용 요율</t>
  </si>
  <si>
    <t xml:space="preserve">항목</t>
  </si>
  <si>
    <t xml:space="preserve">적용 기준</t>
  </si>
  <si>
    <t xml:space="preserve">요율</t>
  </si>
  <si>
    <t xml:space="preserve">근거</t>
  </si>
  <si>
    <t xml:space="preserve">노무비 ×</t>
  </si>
  <si>
    <t xml:space="preserve">2026년 고용노동부 보험료율 고시 (건설업)</t>
  </si>
  <si>
    <t xml:space="preserve">2026년 고용노동부 보험료율 고시 (150인 미만)</t>
  </si>
  <si>
    <t xml:space="preserve">(재료비 + 노무비) ×</t>
  </si>
  <si>
    <t xml:space="preserve">고용노동부 산업안전보건관리비 계상기준</t>
  </si>
  <si>
    <t xml:space="preserve">순공사원가 ×</t>
  </si>
  <si>
    <t xml:space="preserve">6% 이내 적용 (국가계약법 시행규칙 제8조 기준)</t>
  </si>
  <si>
    <t xml:space="preserve">(노무비 + 경비 + 일반관리비) ×</t>
  </si>
  <si>
    <t xml:space="preserve">15% 이내 적용 (국가계약법 시행규칙 제8조 기준)</t>
  </si>
  <si>
    <t xml:space="preserve">견적 산출근거</t>
  </si>
  <si>
    <t xml:space="preserve">금액은 공종 시트에서 연동됨. 인원·일수는 작업 범위와 공정표 기준, 단가는 동종 플랜트 현장 시장 단가 기준으로 산정함.</t>
  </si>
  <si>
    <t xml:space="preserve">공종</t>
  </si>
  <si>
    <t xml:space="preserve">산출식</t>
  </si>
  <si>
    <t xml:space="preserve">금액(원)</t>
  </si>
  <si>
    <t xml:space="preserve">(6 + 6 + 3 + 6)명 × 300,000원</t>
  </si>
  <si>
    <t xml:space="preserve">인원·일수: 작업 범위·공정표 기준 / 단가: 중량물 도비 전문기공 시장 단가</t>
  </si>
  <si>
    <t xml:space="preserve">2명 × 2일 × 260,000원</t>
  </si>
  <si>
    <t xml:space="preserve">크레인 인양 작업 안전관리 인력, 단가: 시장 단가</t>
  </si>
  <si>
    <t xml:space="preserve">1명 × 4일 × 320,000원</t>
  </si>
  <si>
    <t xml:space="preserve">1대 × 2일 × 5,000,000원</t>
  </si>
  <si>
    <t xml:space="preserve">이동식 크레인 1일 임대 시장 단가 (운전원 포함)</t>
  </si>
  <si>
    <t xml:space="preserve">8매 × 80,000원</t>
  </si>
  <si>
    <t xml:space="preserve">장비 임대 시장 단가, 투입 수량·일수는 공정표 기준</t>
  </si>
  <si>
    <t xml:space="preserve">1식 (2일)</t>
  </si>
  <si>
    <t xml:space="preserve">1식</t>
  </si>
  <si>
    <t xml:space="preserve">중량물 작업 전문장비 사용 손료</t>
  </si>
  <si>
    <t xml:space="preserve">자재 시장 단가, 작업 범위 기준 1식</t>
  </si>
  <si>
    <t xml:space="preserve">작업구역 10×15m, 둘레 50m ÷ 2.4m = 21매 + 출입문 1매 → 22매 × 12일 × 5,000원</t>
  </si>
  <si>
    <t xml:space="preserve">작업구역 둘레 기준 수량 × 임대 시장 단가</t>
  </si>
  <si>
    <t xml:space="preserve">2명 × 1일 × 250,000원</t>
  </si>
  <si>
    <t xml:space="preserve">인원·일수: 작업 범위·공정표 기준 / 단가: 플랜트 숙련 기능인력 시장 단가</t>
  </si>
  <si>
    <t xml:space="preserve">2회 × 260,000원</t>
  </si>
  <si>
    <t xml:space="preserve">화물 운반 시장 단가</t>
  </si>
  <si>
    <t xml:space="preserve">작업구역 출입통제 자재, 1식</t>
  </si>
  <si>
    <t xml:space="preserve">1식 600,000원</t>
  </si>
  <si>
    <t xml:space="preserve">공종 현장 부대비 1식</t>
  </si>
  <si>
    <t xml:space="preserve">법정 요율·일반관리비·이윤 (원가계산서 하단 참조)</t>
  </si>
  <si>
    <t xml:space="preserve">부가세 별도</t>
  </si>
  <si>
    <t xml:space="preserve">3명 × 3일 × 500,000원</t>
  </si>
  <si>
    <t xml:space="preserve">2명 × 3일 × 350,000원</t>
  </si>
  <si>
    <t xml:space="preserve">2명 × 2일 × 300,000원</t>
  </si>
  <si>
    <t xml:space="preserve">2명 × 2일 × 200,000원</t>
  </si>
  <si>
    <t xml:space="preserve">1명 × 5일 × 250,000원</t>
  </si>
  <si>
    <t xml:space="preserve">산업안전보건기준에 관한 규칙 제241조의2 (화기작업 화재감시자 배치), 단가는 숙련 기능인력 시장 단가</t>
  </si>
  <si>
    <t xml:space="preserve">3대 × 3일 × 400,000원</t>
  </si>
  <si>
    <t xml:space="preserve">1식 (용접재 3,000,000 + 전원 케이블·잡자재 680,000)</t>
  </si>
  <si>
    <t xml:space="preserve">2대 × 12일 × 100,000원</t>
  </si>
  <si>
    <t xml:space="preserve">28인·일 기준 1식</t>
  </si>
  <si>
    <t xml:space="preserve">투입 인·일 기준 현장 부대비</t>
  </si>
  <si>
    <t xml:space="preserve">1식 (1,882kg)</t>
  </si>
  <si>
    <t xml:space="preserve">H빔 1,882kg (베이스자재 시트), 공사 후 회수 조건 1식</t>
  </si>
  <si>
    <t xml:space="preserve">화물 운반 시장 단가 (반입·회수)</t>
  </si>
  <si>
    <t xml:space="preserve">3명 × 1일 × 350,000원</t>
  </si>
  <si>
    <t xml:space="preserve">공 종 별   내 역 서</t>
  </si>
  <si>
    <t xml:space="preserve">견적번호 NM-2610-01   |   견적일 2026-10-19   |   주식회사 금강변압기 귀중</t>
  </si>
  <si>
    <t xml:space="preserve">공 종 : 진공건조로 2기 회전·베이스 안착(1일), 용접면 밀착(2일), 완성품 이동(1일), 작업구역 안전펜스</t>
  </si>
  <si>
    <t xml:space="preserve">구분</t>
  </si>
  <si>
    <t xml:space="preserve">인·일</t>
  </si>
  <si>
    <t xml:space="preserve">장비</t>
  </si>
  <si>
    <t xml:space="preserve">대·일</t>
  </si>
  <si>
    <t xml:space="preserve">SET</t>
  </si>
  <si>
    <t xml:space="preserve">안전시설</t>
  </si>
  <si>
    <t xml:space="preserve">매·일</t>
  </si>
  <si>
    <t xml:space="preserve">회</t>
  </si>
  <si>
    <t xml:space="preserve">재료비 계</t>
  </si>
  <si>
    <t xml:space="preserve">노무비 계</t>
  </si>
  <si>
    <t xml:space="preserve">경비 계</t>
  </si>
  <si>
    <t xml:space="preserve">노무비 × 3.56%</t>
  </si>
  <si>
    <t xml:space="preserve">노무비 × 1.15%</t>
  </si>
  <si>
    <t xml:space="preserve">(재료비 + 노무비) × 3.11%</t>
  </si>
  <si>
    <t xml:space="preserve">순공사원가 × 5%</t>
  </si>
  <si>
    <t xml:space="preserve">(노무비 + 경비 + 일반관리비) × 15.0%</t>
  </si>
  <si>
    <t xml:space="preserve">천원 미만 절사</t>
  </si>
  <si>
    <t xml:space="preserve">※ 수량·단가의 근거는 '산출근거' 시트에 정리함.</t>
  </si>
  <si>
    <t xml:space="preserve">※ 연장·야간·휴일 작업은 공정에 따라 당사가 수행함 (추가 정산 없음).</t>
  </si>
  <si>
    <t xml:space="preserve">공 종 : 접합면 사상(2일) 및 접합부 CO2 용접(3일)</t>
  </si>
  <si>
    <t xml:space="preserve">공 종 : 기존 철판 조방 위 H빔 임시 베이스 설치 및 공사 후 회수, H-250×250</t>
  </si>
  <si>
    <t xml:space="preserve">운반비</t>
  </si>
  <si>
    <t xml:space="preserve">미적용</t>
  </si>
  <si>
    <t xml:space="preserve">베이스 자재: H-250×250×9×14 (회수조건)</t>
  </si>
  <si>
    <t xml:space="preserve">길이(m)</t>
  </si>
  <si>
    <t xml:space="preserve">수량(EA)</t>
  </si>
  <si>
    <t xml:space="preserve">총 길이(m)</t>
  </si>
  <si>
    <t xml:space="preserve">단위중량(kg/m)</t>
  </si>
  <si>
    <t xml:space="preserve">중량(kg)</t>
  </si>
  <si>
    <t xml:space="preserve">공사 후 회수, 사용 기간 손료 개념</t>
  </si>
  <si>
    <t xml:space="preserve">기존 철판 조방 위에 10m H빔 2본을 길이 방향으로 놓고, 양 끝에 3m H빔을 직각으로 용접함. 단위중량 72.4 kg/m는 KS H-250×250×9×14 공칭값. 임시 구조물로 방청·도장 미적용.</t>
  </si>
  <si>
    <t xml:space="preserve">공정표 (가정 일정 2026.10.21 ~ 11.03, 작업일 12일)</t>
  </si>
  <si>
    <t xml:space="preserve">공정</t>
  </si>
  <si>
    <t xml:space="preserve">투입 인원</t>
  </si>
  <si>
    <t xml:space="preserve">10/21
수</t>
  </si>
  <si>
    <t xml:space="preserve">10/22
목</t>
  </si>
  <si>
    <t xml:space="preserve">10/23
금</t>
  </si>
  <si>
    <t xml:space="preserve">10/24
토</t>
  </si>
  <si>
    <t xml:space="preserve">10/26
월</t>
  </si>
  <si>
    <t xml:space="preserve">10/27
화</t>
  </si>
  <si>
    <t xml:space="preserve">10/28
수</t>
  </si>
  <si>
    <t xml:space="preserve">10/29
목</t>
  </si>
  <si>
    <t xml:space="preserve">10/30
금</t>
  </si>
  <si>
    <t xml:space="preserve">10/31
토</t>
  </si>
  <si>
    <t xml:space="preserve">11/2
월</t>
  </si>
  <si>
    <t xml:space="preserve">11/3
화</t>
  </si>
  <si>
    <t xml:space="preserve">안전펜스 설치·작업구역 통제</t>
  </si>
  <si>
    <t xml:space="preserve">조공 2명</t>
  </si>
  <si>
    <t xml:space="preserve">베이스 설치 (H빔 배치·용접)</t>
  </si>
  <si>
    <t xml:space="preserve">시공자 3명</t>
  </si>
  <si>
    <t xml:space="preserve">회전·베이스 안착 (250t)</t>
  </si>
  <si>
    <t xml:space="preserve">도비 6명, 신호수 2, 안전담당</t>
  </si>
  <si>
    <t xml:space="preserve">접합면 사상</t>
  </si>
  <si>
    <t xml:space="preserve">사상 2, 조공 2, 화재감시 1</t>
  </si>
  <si>
    <t xml:space="preserve">용접면 밀착</t>
  </si>
  <si>
    <t xml:space="preserve">도비 6명·3명, 안전담당</t>
  </si>
  <si>
    <t xml:space="preserve">접합부 용접</t>
  </si>
  <si>
    <t xml:space="preserve">용접사 3, 고급기술자 2, 화재감시 1</t>
  </si>
  <si>
    <t xml:space="preserve">완성품 이동 (250t)·베이스 회수</t>
  </si>
  <si>
    <t xml:space="preserve">펜스 해체·정리</t>
  </si>
  <si>
    <t xml:space="preserve">가정 일정: 2026-10-21(수) 착공 ~ 11-03(화) 완료, 일요일 휴무 기준 작업일 12일. 날짜는 가정이며 착공일은 발주처 협의로 확정함.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</si>
</sst>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-#,##0;\-"/>
    <numFmt numFmtId="166" formatCode="0.0%"/>
    <numFmt numFmtId="167" formatCode="0.00%"/>
    <numFmt numFmtId="168" formatCode="General"/>
    <numFmt numFmtId="169" formatCode="#,##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E8742A"/>
      <name val="Pretendard SemiBold"/>
      <family val="0"/>
      <charset val="1"/>
    </font>
    <font>
      <sz val="10"/>
      <color rgb="FF5D6878"/>
      <name val="Pretendard"/>
      <family val="0"/>
      <charset val="1"/>
    </font>
    <font>
      <sz val="10"/>
      <color rgb="FF1D2430"/>
      <name val="Pretendard"/>
      <family val="0"/>
      <charset val="1"/>
    </font>
    <font>
      <b val="true"/>
      <sz val="22"/>
      <color rgb="FF0F2A44"/>
      <name val="Pretendard"/>
      <family val="0"/>
      <charset val="1"/>
    </font>
    <font>
      <sz val="12"/>
      <color rgb="FF1D2430"/>
      <name val="Pretendard SemiBold"/>
      <family val="0"/>
      <charset val="1"/>
    </font>
    <font>
      <b val="true"/>
      <sz val="13"/>
      <color rgb="FF0F2A44"/>
      <name val="Pretendard"/>
      <family val="0"/>
      <charset val="1"/>
    </font>
    <font>
      <sz val="10"/>
      <color rgb="FF1D2430"/>
      <name val="Pretendard SemiBold"/>
      <family val="0"/>
      <charset val="1"/>
    </font>
    <font>
      <b val="true"/>
      <sz val="10"/>
      <color rgb="FF1D2430"/>
      <name val="Pretendard"/>
      <family val="0"/>
      <charset val="1"/>
    </font>
    <font>
      <b val="true"/>
      <sz val="13"/>
      <color rgb="FFFFFFFF"/>
      <name val="Pretendard"/>
      <family val="0"/>
      <charset val="1"/>
    </font>
    <font>
      <sz val="8"/>
      <color rgb="FF5D6878"/>
      <name val="Pretendard"/>
      <family val="0"/>
      <charset val="1"/>
    </font>
    <font>
      <b val="true"/>
      <sz val="16"/>
      <color rgb="FF0F2A44"/>
      <name val="Pretendard"/>
      <family val="0"/>
      <charset val="1"/>
    </font>
    <font>
      <sz val="9"/>
      <color rgb="FF5D6878"/>
      <name val="Pretendard"/>
      <family val="0"/>
      <charset val="1"/>
    </font>
    <font>
      <sz val="11"/>
      <color theme="1"/>
      <name val="WenQuanYi Zen Hei"/>
      <family val="2"/>
    </font>
    <font>
      <b val="true"/>
      <sz val="10"/>
      <color rgb="FFFFFFFF"/>
      <name val="Pretendard"/>
      <family val="0"/>
      <charset val="1"/>
    </font>
    <font>
      <sz val="11"/>
      <color rgb="FF1D2430"/>
      <name val="Pretendard SemiBold"/>
      <family val="0"/>
      <charset val="1"/>
    </font>
    <font>
      <sz val="9"/>
      <color rgb="FF1D2430"/>
      <name val="Pretendard"/>
      <family val="0"/>
      <charset val="1"/>
    </font>
    <font>
      <b val="true"/>
      <sz val="14"/>
      <color rgb="FF0F2A44"/>
      <name val="Pretendard"/>
      <family val="0"/>
      <charset val="1"/>
    </font>
    <font>
      <b val="true"/>
      <sz val="11"/>
      <color rgb="FFFFFFFF"/>
      <name val="Pretendard"/>
      <family val="0"/>
      <charset val="1"/>
    </font>
    <font>
      <b val="true"/>
      <sz val="9"/>
      <color rgb="FF1D2430"/>
      <name val="Pretendard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4F6F9"/>
        <bgColor rgb="FFFFFFFF"/>
      </patternFill>
    </fill>
    <fill>
      <patternFill patternType="solid">
        <fgColor rgb="FF0F2A44"/>
        <bgColor rgb="FF1D2430"/>
      </patternFill>
    </fill>
    <fill>
      <patternFill patternType="solid">
        <fgColor rgb="FFE8742A"/>
        <bgColor rgb="FFFF8080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  <border diagonalUp="false" diagonalDown="false">
      <left/>
      <right/>
      <top style="medium">
        <color rgb="FF0F2A44"/>
      </top>
      <bottom style="medium">
        <color rgb="FF0F2A44"/>
      </bottom>
      <diagonal/>
    </border>
    <border diagonalUp="false" diagonalDown="false">
      <left style="thin">
        <color rgb="FFDDE3EA"/>
      </left>
      <right style="thin">
        <color rgb="FFDDE3EA"/>
      </right>
      <top style="medium">
        <color rgb="FF0F2A44"/>
      </top>
      <bottom style="thin">
        <color rgb="FFDDE3EA"/>
      </bottom>
      <diagonal/>
    </border>
    <border diagonalUp="false" diagonalDown="false"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  <border diagonalUp="false" diagonalDown="false">
      <left/>
      <right/>
      <top style="thin">
        <color rgb="FFDDE3E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4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4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2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6F9"/>
      <rgbColor rgb="FFCCFFFF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42A"/>
      <rgbColor rgb="FF5D6878"/>
      <rgbColor rgb="FF969696"/>
      <rgbColor rgb="FF0F2A44"/>
      <rgbColor rgb="FF339966"/>
      <rgbColor rgb="FF003300"/>
      <rgbColor rgb="FF333300"/>
      <rgbColor rgb="FF993300"/>
      <rgbColor rgb="FF993366"/>
      <rgbColor rgb="FF333399"/>
      <rgbColor rgb="FF1D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3"/>
    <col collapsed="false" customWidth="true" hidden="false" outlineLevel="0" max="4" min="4" style="0" width="22"/>
    <col collapsed="false" customWidth="true" hidden="false" outlineLevel="0" max="5" min="5" style="0" width="7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2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H1" s="2" t="s">
        <v>1</v>
      </c>
      <c r="I1" s="3" t="s">
        <v>2</v>
      </c>
    </row>
    <row r="2" customFormat="false" ht="19.5" hidden="false" customHeight="true" outlineLevel="0" collapsed="false">
      <c r="A2" s="4" t="s">
        <v>3</v>
      </c>
      <c r="B2" s="4"/>
      <c r="C2" s="4"/>
      <c r="D2" s="4"/>
      <c r="H2" s="2" t="s">
        <v>4</v>
      </c>
      <c r="I2" s="3" t="s">
        <v>5</v>
      </c>
    </row>
    <row r="3" customFormat="false" ht="19.5" hidden="false" customHeight="true" outlineLevel="0" collapsed="false"/>
    <row r="4" customFormat="false" ht="7.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</row>
    <row r="5" customFormat="false" ht="21.75" hidden="false" customHeight="true" outlineLevel="0" collapsed="false">
      <c r="A5" s="6" t="s">
        <v>6</v>
      </c>
      <c r="F5" s="6" t="s">
        <v>7</v>
      </c>
    </row>
    <row r="6" customFormat="false" ht="19.5" hidden="false" customHeight="true" outlineLevel="0" collapsed="false">
      <c r="A6" s="7" t="s">
        <v>8</v>
      </c>
      <c r="B6" s="8" t="s">
        <v>9</v>
      </c>
      <c r="C6" s="8"/>
      <c r="D6" s="8"/>
      <c r="F6" s="7" t="s">
        <v>10</v>
      </c>
      <c r="G6" s="7"/>
      <c r="H6" s="8" t="s">
        <v>11</v>
      </c>
      <c r="I6" s="8"/>
    </row>
    <row r="7" customFormat="false" ht="19.5" hidden="false" customHeight="true" outlineLevel="0" collapsed="false">
      <c r="A7" s="7" t="s">
        <v>12</v>
      </c>
      <c r="B7" s="8"/>
      <c r="C7" s="8"/>
      <c r="D7" s="8"/>
      <c r="F7" s="7" t="s">
        <v>13</v>
      </c>
      <c r="G7" s="7"/>
      <c r="H7" s="8" t="s">
        <v>14</v>
      </c>
      <c r="I7" s="8"/>
    </row>
    <row r="8" customFormat="false" ht="30" hidden="false" customHeight="true" outlineLevel="0" collapsed="false">
      <c r="A8" s="7" t="s">
        <v>15</v>
      </c>
      <c r="B8" s="8"/>
      <c r="C8" s="8"/>
      <c r="D8" s="8"/>
      <c r="F8" s="7" t="s">
        <v>16</v>
      </c>
      <c r="G8" s="7"/>
      <c r="H8" s="8" t="s">
        <v>17</v>
      </c>
      <c r="I8" s="8"/>
    </row>
    <row r="9" customFormat="false" ht="30" hidden="false" customHeight="true" outlineLevel="0" collapsed="false">
      <c r="A9" s="7" t="s">
        <v>18</v>
      </c>
      <c r="B9" s="8" t="s">
        <v>19</v>
      </c>
      <c r="C9" s="8"/>
      <c r="D9" s="8"/>
      <c r="F9" s="7" t="s">
        <v>20</v>
      </c>
      <c r="G9" s="7"/>
      <c r="H9" s="8" t="s">
        <v>21</v>
      </c>
      <c r="I9" s="8"/>
    </row>
    <row r="10" customFormat="false" ht="30" hidden="false" customHeight="true" outlineLevel="0" collapsed="false">
      <c r="A10" s="7" t="s">
        <v>22</v>
      </c>
      <c r="B10" s="8" t="s">
        <v>23</v>
      </c>
      <c r="C10" s="8"/>
      <c r="D10" s="8"/>
      <c r="F10" s="7" t="s">
        <v>24</v>
      </c>
      <c r="G10" s="7"/>
      <c r="H10" s="8" t="s">
        <v>25</v>
      </c>
      <c r="I10" s="8"/>
    </row>
    <row r="11" customFormat="false" ht="19.5" hidden="false" customHeight="true" outlineLevel="0" collapsed="false">
      <c r="A11" s="7"/>
      <c r="B11" s="8"/>
      <c r="C11" s="8"/>
      <c r="D11" s="8"/>
      <c r="F11" s="7" t="s">
        <v>26</v>
      </c>
      <c r="G11" s="7"/>
      <c r="H11" s="8"/>
      <c r="I11" s="8"/>
    </row>
    <row r="13" customFormat="false" ht="36" hidden="false" customHeight="true" outlineLevel="0" collapsed="false">
      <c r="A13" s="9" t="s">
        <v>27</v>
      </c>
      <c r="B13" s="9"/>
      <c r="C13" s="9"/>
      <c r="D13" s="9"/>
      <c r="E13" s="9"/>
      <c r="F13" s="9"/>
      <c r="G13" s="9"/>
      <c r="H13" s="9"/>
      <c r="I13" s="9"/>
    </row>
    <row r="15" customFormat="false" ht="21.75" hidden="false" customHeight="true" outlineLevel="0" collapsed="false">
      <c r="A15" s="6" t="s">
        <v>28</v>
      </c>
    </row>
    <row r="16" customFormat="false" ht="21.75" hidden="false" customHeight="true" outlineLevel="0" collapsed="false">
      <c r="A16" s="10" t="s">
        <v>29</v>
      </c>
      <c r="B16" s="10" t="s">
        <v>30</v>
      </c>
      <c r="C16" s="10"/>
      <c r="D16" s="10" t="s">
        <v>31</v>
      </c>
      <c r="E16" s="10" t="s">
        <v>32</v>
      </c>
      <c r="F16" s="10" t="s">
        <v>33</v>
      </c>
      <c r="G16" s="10" t="s">
        <v>34</v>
      </c>
      <c r="H16" s="10" t="s">
        <v>35</v>
      </c>
      <c r="I16" s="10" t="s">
        <v>36</v>
      </c>
    </row>
    <row r="17" customFormat="false" ht="19.5" hidden="false" customHeight="true" outlineLevel="0" collapsed="false">
      <c r="A17" s="11"/>
      <c r="B17" s="12" t="s">
        <v>37</v>
      </c>
      <c r="C17" s="12"/>
      <c r="D17" s="12"/>
      <c r="E17" s="12"/>
      <c r="F17" s="12"/>
      <c r="G17" s="12"/>
      <c r="H17" s="12"/>
      <c r="I17" s="12"/>
    </row>
    <row r="18" customFormat="false" ht="19.5" hidden="false" customHeight="true" outlineLevel="0" collapsed="false">
      <c r="A18" s="11" t="n">
        <v>1</v>
      </c>
      <c r="B18" s="13" t="s">
        <v>38</v>
      </c>
      <c r="C18" s="13"/>
      <c r="D18" s="13" t="s">
        <v>39</v>
      </c>
      <c r="E18" s="14" t="n">
        <f aca="false">도비!E8</f>
        <v>21</v>
      </c>
      <c r="F18" s="11" t="str">
        <f aca="false">도비!D8</f>
        <v>인·일</v>
      </c>
      <c r="G18" s="14" t="n">
        <f aca="false">도비!F8</f>
        <v>300000</v>
      </c>
      <c r="H18" s="14" t="n">
        <f aca="false">도비!G8</f>
        <v>6300000</v>
      </c>
      <c r="I18" s="13" t="s">
        <v>40</v>
      </c>
    </row>
    <row r="19" customFormat="false" ht="19.5" hidden="false" customHeight="true" outlineLevel="0" collapsed="false">
      <c r="A19" s="11" t="n">
        <v>2</v>
      </c>
      <c r="B19" s="13" t="s">
        <v>41</v>
      </c>
      <c r="C19" s="13"/>
      <c r="D19" s="13" t="s">
        <v>42</v>
      </c>
      <c r="E19" s="14" t="n">
        <f aca="false">도비!E9</f>
        <v>4</v>
      </c>
      <c r="F19" s="11" t="str">
        <f aca="false">도비!D9</f>
        <v>인·일</v>
      </c>
      <c r="G19" s="14" t="n">
        <f aca="false">도비!F9</f>
        <v>260000</v>
      </c>
      <c r="H19" s="14" t="n">
        <f aca="false">도비!G9</f>
        <v>1040000</v>
      </c>
      <c r="I19" s="13" t="s">
        <v>43</v>
      </c>
    </row>
    <row r="20" customFormat="false" ht="19.5" hidden="false" customHeight="true" outlineLevel="0" collapsed="false">
      <c r="A20" s="11" t="n">
        <v>3</v>
      </c>
      <c r="B20" s="13" t="s">
        <v>44</v>
      </c>
      <c r="C20" s="13"/>
      <c r="D20" s="13" t="s">
        <v>45</v>
      </c>
      <c r="E20" s="14" t="n">
        <f aca="false">도비!E10</f>
        <v>4</v>
      </c>
      <c r="F20" s="11" t="str">
        <f aca="false">도비!D10</f>
        <v>인·일</v>
      </c>
      <c r="G20" s="14" t="n">
        <f aca="false">도비!F10</f>
        <v>320000</v>
      </c>
      <c r="H20" s="14" t="n">
        <f aca="false">도비!G10</f>
        <v>1280000</v>
      </c>
      <c r="I20" s="13" t="s">
        <v>46</v>
      </c>
    </row>
    <row r="21" customFormat="false" ht="19.5" hidden="false" customHeight="true" outlineLevel="0" collapsed="false">
      <c r="A21" s="11" t="n">
        <v>4</v>
      </c>
      <c r="B21" s="13" t="s">
        <v>47</v>
      </c>
      <c r="C21" s="13"/>
      <c r="D21" s="13" t="s">
        <v>48</v>
      </c>
      <c r="E21" s="14" t="n">
        <f aca="false">도비!E11</f>
        <v>2</v>
      </c>
      <c r="F21" s="11" t="str">
        <f aca="false">도비!D11</f>
        <v>대·일</v>
      </c>
      <c r="G21" s="14" t="n">
        <f aca="false">도비!F11</f>
        <v>5000000</v>
      </c>
      <c r="H21" s="14" t="n">
        <f aca="false">도비!G11</f>
        <v>10000000</v>
      </c>
      <c r="I21" s="13" t="s">
        <v>49</v>
      </c>
    </row>
    <row r="22" customFormat="false" ht="19.5" hidden="false" customHeight="true" outlineLevel="0" collapsed="false">
      <c r="A22" s="11" t="n">
        <v>5</v>
      </c>
      <c r="B22" s="13" t="s">
        <v>50</v>
      </c>
      <c r="C22" s="13"/>
      <c r="D22" s="13" t="s">
        <v>51</v>
      </c>
      <c r="E22" s="14" t="n">
        <f aca="false">도비!E12</f>
        <v>1</v>
      </c>
      <c r="F22" s="11" t="str">
        <f aca="false">도비!D12</f>
        <v>식</v>
      </c>
      <c r="G22" s="14" t="n">
        <f aca="false">도비!F12</f>
        <v>640000</v>
      </c>
      <c r="H22" s="14" t="n">
        <f aca="false">도비!G12</f>
        <v>640000</v>
      </c>
      <c r="I22" s="13" t="s">
        <v>52</v>
      </c>
    </row>
    <row r="23" customFormat="false" ht="19.5" hidden="false" customHeight="true" outlineLevel="0" collapsed="false">
      <c r="A23" s="11" t="n">
        <v>6</v>
      </c>
      <c r="B23" s="13" t="s">
        <v>53</v>
      </c>
      <c r="C23" s="13"/>
      <c r="D23" s="13" t="s">
        <v>54</v>
      </c>
      <c r="E23" s="14" t="n">
        <f aca="false">도비!E13</f>
        <v>1</v>
      </c>
      <c r="F23" s="11" t="str">
        <f aca="false">도비!D13</f>
        <v>SET</v>
      </c>
      <c r="G23" s="14" t="n">
        <f aca="false">도비!F13</f>
        <v>2000000</v>
      </c>
      <c r="H23" s="14" t="n">
        <f aca="false">도비!G13</f>
        <v>2000000</v>
      </c>
      <c r="I23" s="13" t="s">
        <v>55</v>
      </c>
    </row>
    <row r="24" customFormat="false" ht="19.5" hidden="false" customHeight="true" outlineLevel="0" collapsed="false">
      <c r="A24" s="11" t="n">
        <v>7</v>
      </c>
      <c r="B24" s="13" t="s">
        <v>56</v>
      </c>
      <c r="C24" s="13"/>
      <c r="D24" s="13" t="s">
        <v>57</v>
      </c>
      <c r="E24" s="14" t="n">
        <f aca="false">도비!E14</f>
        <v>1</v>
      </c>
      <c r="F24" s="11" t="str">
        <f aca="false">도비!D14</f>
        <v>SET</v>
      </c>
      <c r="G24" s="14" t="n">
        <f aca="false">도비!F14</f>
        <v>3000000</v>
      </c>
      <c r="H24" s="14" t="n">
        <f aca="false">도비!G14</f>
        <v>3000000</v>
      </c>
      <c r="I24" s="13"/>
    </row>
    <row r="25" customFormat="false" ht="19.5" hidden="false" customHeight="true" outlineLevel="0" collapsed="false">
      <c r="A25" s="11" t="n">
        <v>8</v>
      </c>
      <c r="B25" s="13" t="s">
        <v>58</v>
      </c>
      <c r="C25" s="13"/>
      <c r="D25" s="13" t="s">
        <v>59</v>
      </c>
      <c r="E25" s="14" t="n">
        <f aca="false">도비!E15</f>
        <v>1</v>
      </c>
      <c r="F25" s="11" t="str">
        <f aca="false">도비!D15</f>
        <v>식</v>
      </c>
      <c r="G25" s="14" t="n">
        <f aca="false">도비!F15</f>
        <v>1000000</v>
      </c>
      <c r="H25" s="14" t="n">
        <f aca="false">도비!G15</f>
        <v>1000000</v>
      </c>
      <c r="I25" s="13"/>
    </row>
    <row r="26" customFormat="false" ht="19.5" hidden="false" customHeight="true" outlineLevel="0" collapsed="false">
      <c r="A26" s="11" t="n">
        <v>9</v>
      </c>
      <c r="B26" s="13" t="s">
        <v>60</v>
      </c>
      <c r="C26" s="13"/>
      <c r="D26" s="13" t="s">
        <v>61</v>
      </c>
      <c r="E26" s="14" t="n">
        <f aca="false">도비!E16</f>
        <v>264</v>
      </c>
      <c r="F26" s="11" t="str">
        <f aca="false">도비!D16</f>
        <v>매·일</v>
      </c>
      <c r="G26" s="14" t="n">
        <f aca="false">도비!F16</f>
        <v>5000</v>
      </c>
      <c r="H26" s="14" t="n">
        <f aca="false">도비!G16</f>
        <v>1320000</v>
      </c>
      <c r="I26" s="13" t="s">
        <v>62</v>
      </c>
    </row>
    <row r="27" customFormat="false" ht="19.5" hidden="false" customHeight="true" outlineLevel="0" collapsed="false">
      <c r="A27" s="11" t="n">
        <v>10</v>
      </c>
      <c r="B27" s="13" t="s">
        <v>63</v>
      </c>
      <c r="C27" s="13"/>
      <c r="D27" s="13" t="s">
        <v>64</v>
      </c>
      <c r="E27" s="14" t="n">
        <f aca="false">도비!E17</f>
        <v>2</v>
      </c>
      <c r="F27" s="11" t="str">
        <f aca="false">도비!D17</f>
        <v>인·일</v>
      </c>
      <c r="G27" s="14" t="n">
        <f aca="false">도비!F17</f>
        <v>250000</v>
      </c>
      <c r="H27" s="14" t="n">
        <f aca="false">도비!G17</f>
        <v>500000</v>
      </c>
      <c r="I27" s="13" t="s">
        <v>65</v>
      </c>
    </row>
    <row r="28" customFormat="false" ht="19.5" hidden="false" customHeight="true" outlineLevel="0" collapsed="false">
      <c r="A28" s="11" t="n">
        <v>11</v>
      </c>
      <c r="B28" s="13" t="s">
        <v>66</v>
      </c>
      <c r="C28" s="13"/>
      <c r="D28" s="13" t="s">
        <v>67</v>
      </c>
      <c r="E28" s="14" t="n">
        <f aca="false">도비!E18</f>
        <v>2</v>
      </c>
      <c r="F28" s="11" t="str">
        <f aca="false">도비!D18</f>
        <v>회</v>
      </c>
      <c r="G28" s="14" t="n">
        <f aca="false">도비!F18</f>
        <v>260000</v>
      </c>
      <c r="H28" s="14" t="n">
        <f aca="false">도비!G18</f>
        <v>520000</v>
      </c>
      <c r="I28" s="13" t="s">
        <v>68</v>
      </c>
    </row>
    <row r="29" customFormat="false" ht="19.5" hidden="false" customHeight="true" outlineLevel="0" collapsed="false">
      <c r="A29" s="11" t="n">
        <v>12</v>
      </c>
      <c r="B29" s="13" t="s">
        <v>69</v>
      </c>
      <c r="C29" s="13"/>
      <c r="D29" s="13"/>
      <c r="E29" s="14" t="n">
        <f aca="false">도비!E19</f>
        <v>1</v>
      </c>
      <c r="F29" s="11" t="str">
        <f aca="false">도비!D19</f>
        <v>식</v>
      </c>
      <c r="G29" s="14" t="n">
        <f aca="false">도비!F19</f>
        <v>380000</v>
      </c>
      <c r="H29" s="14" t="n">
        <f aca="false">도비!G19</f>
        <v>380000</v>
      </c>
      <c r="I29" s="13"/>
    </row>
    <row r="30" customFormat="false" ht="19.5" hidden="false" customHeight="true" outlineLevel="0" collapsed="false">
      <c r="A30" s="11" t="n">
        <v>13</v>
      </c>
      <c r="B30" s="13" t="s">
        <v>70</v>
      </c>
      <c r="C30" s="13"/>
      <c r="D30" s="13" t="s">
        <v>71</v>
      </c>
      <c r="E30" s="14" t="n">
        <f aca="false">도비!E20</f>
        <v>1</v>
      </c>
      <c r="F30" s="11" t="str">
        <f aca="false">도비!D20</f>
        <v>식</v>
      </c>
      <c r="G30" s="14" t="n">
        <f aca="false">도비!F20</f>
        <v>600000</v>
      </c>
      <c r="H30" s="14" t="n">
        <f aca="false">도비!G20</f>
        <v>600000</v>
      </c>
      <c r="I30" s="13"/>
    </row>
    <row r="31" customFormat="false" ht="19.5" hidden="false" customHeight="true" outlineLevel="0" collapsed="false">
      <c r="A31" s="11" t="n">
        <v>14</v>
      </c>
      <c r="B31" s="13" t="s">
        <v>72</v>
      </c>
      <c r="C31" s="13"/>
      <c r="D31" s="13" t="s">
        <v>73</v>
      </c>
      <c r="E31" s="14" t="n">
        <v>1</v>
      </c>
      <c r="F31" s="11" t="s">
        <v>74</v>
      </c>
      <c r="G31" s="14" t="n">
        <f aca="false">H31</f>
        <v>6636000</v>
      </c>
      <c r="H31" s="14" t="n">
        <f aca="false">도비!$G$31-도비!$G$21-도비!$G$22-도비!$G$23</f>
        <v>6636000</v>
      </c>
      <c r="I31" s="13" t="s">
        <v>75</v>
      </c>
    </row>
    <row r="32" customFormat="false" ht="19.5" hidden="false" customHeight="true" outlineLevel="0" collapsed="false">
      <c r="A32" s="15" t="s">
        <v>76</v>
      </c>
      <c r="B32" s="15"/>
      <c r="C32" s="15"/>
      <c r="D32" s="15"/>
      <c r="E32" s="15"/>
      <c r="F32" s="15"/>
      <c r="G32" s="15"/>
      <c r="H32" s="16" t="n">
        <f aca="false">도비!$G$31</f>
        <v>35216000</v>
      </c>
      <c r="I32" s="17" t="s">
        <v>77</v>
      </c>
    </row>
    <row r="33" customFormat="false" ht="19.5" hidden="false" customHeight="true" outlineLevel="0" collapsed="false">
      <c r="A33" s="11"/>
      <c r="B33" s="12" t="s">
        <v>78</v>
      </c>
      <c r="C33" s="12"/>
      <c r="D33" s="12"/>
      <c r="E33" s="12"/>
      <c r="F33" s="12"/>
      <c r="G33" s="12"/>
      <c r="H33" s="12"/>
      <c r="I33" s="12"/>
    </row>
    <row r="34" customFormat="false" ht="19.5" hidden="false" customHeight="true" outlineLevel="0" collapsed="false">
      <c r="A34" s="11" t="n">
        <v>15</v>
      </c>
      <c r="B34" s="13" t="s">
        <v>79</v>
      </c>
      <c r="C34" s="13"/>
      <c r="D34" s="13" t="s">
        <v>80</v>
      </c>
      <c r="E34" s="14" t="n">
        <f aca="false">용접!E8</f>
        <v>9</v>
      </c>
      <c r="F34" s="11" t="str">
        <f aca="false">용접!D8</f>
        <v>인·일</v>
      </c>
      <c r="G34" s="14" t="n">
        <f aca="false">용접!F8</f>
        <v>500000</v>
      </c>
      <c r="H34" s="14" t="n">
        <f aca="false">용접!G8</f>
        <v>4500000</v>
      </c>
      <c r="I34" s="13" t="s">
        <v>81</v>
      </c>
    </row>
    <row r="35" customFormat="false" ht="19.5" hidden="false" customHeight="true" outlineLevel="0" collapsed="false">
      <c r="A35" s="11" t="n">
        <v>16</v>
      </c>
      <c r="B35" s="13" t="s">
        <v>82</v>
      </c>
      <c r="C35" s="13"/>
      <c r="D35" s="13" t="s">
        <v>83</v>
      </c>
      <c r="E35" s="14" t="n">
        <f aca="false">용접!E9</f>
        <v>6</v>
      </c>
      <c r="F35" s="11" t="str">
        <f aca="false">용접!D9</f>
        <v>인·일</v>
      </c>
      <c r="G35" s="14" t="n">
        <f aca="false">용접!F9</f>
        <v>350000</v>
      </c>
      <c r="H35" s="14" t="n">
        <f aca="false">용접!G9</f>
        <v>2100000</v>
      </c>
      <c r="I35" s="13" t="s">
        <v>84</v>
      </c>
    </row>
    <row r="36" customFormat="false" ht="19.5" hidden="false" customHeight="true" outlineLevel="0" collapsed="false">
      <c r="A36" s="11" t="n">
        <v>17</v>
      </c>
      <c r="B36" s="13" t="s">
        <v>85</v>
      </c>
      <c r="C36" s="13"/>
      <c r="D36" s="13" t="s">
        <v>86</v>
      </c>
      <c r="E36" s="14" t="n">
        <f aca="false">용접!E10</f>
        <v>4</v>
      </c>
      <c r="F36" s="11" t="str">
        <f aca="false">용접!D10</f>
        <v>인·일</v>
      </c>
      <c r="G36" s="14" t="n">
        <f aca="false">용접!F10</f>
        <v>300000</v>
      </c>
      <c r="H36" s="14" t="n">
        <f aca="false">용접!G10</f>
        <v>1200000</v>
      </c>
      <c r="I36" s="13" t="s">
        <v>87</v>
      </c>
    </row>
    <row r="37" customFormat="false" ht="19.5" hidden="false" customHeight="true" outlineLevel="0" collapsed="false">
      <c r="A37" s="11" t="n">
        <v>18</v>
      </c>
      <c r="B37" s="13" t="s">
        <v>88</v>
      </c>
      <c r="C37" s="13"/>
      <c r="D37" s="13" t="s">
        <v>89</v>
      </c>
      <c r="E37" s="14" t="n">
        <f aca="false">용접!E11</f>
        <v>4</v>
      </c>
      <c r="F37" s="11" t="str">
        <f aca="false">용접!D11</f>
        <v>인·일</v>
      </c>
      <c r="G37" s="14" t="n">
        <f aca="false">용접!F11</f>
        <v>200000</v>
      </c>
      <c r="H37" s="14" t="n">
        <f aca="false">용접!G11</f>
        <v>800000</v>
      </c>
      <c r="I37" s="13" t="s">
        <v>87</v>
      </c>
    </row>
    <row r="38" customFormat="false" ht="19.5" hidden="false" customHeight="true" outlineLevel="0" collapsed="false">
      <c r="A38" s="11" t="n">
        <v>19</v>
      </c>
      <c r="B38" s="13" t="s">
        <v>90</v>
      </c>
      <c r="C38" s="13"/>
      <c r="D38" s="13" t="s">
        <v>91</v>
      </c>
      <c r="E38" s="14" t="n">
        <f aca="false">용접!E12</f>
        <v>5</v>
      </c>
      <c r="F38" s="11" t="str">
        <f aca="false">용접!D12</f>
        <v>인·일</v>
      </c>
      <c r="G38" s="14" t="n">
        <f aca="false">용접!F12</f>
        <v>250000</v>
      </c>
      <c r="H38" s="14" t="n">
        <f aca="false">용접!G12</f>
        <v>1250000</v>
      </c>
      <c r="I38" s="13" t="s">
        <v>92</v>
      </c>
    </row>
    <row r="39" customFormat="false" ht="19.5" hidden="false" customHeight="true" outlineLevel="0" collapsed="false">
      <c r="A39" s="11" t="n">
        <v>20</v>
      </c>
      <c r="B39" s="13" t="s">
        <v>93</v>
      </c>
      <c r="C39" s="13"/>
      <c r="D39" s="13" t="s">
        <v>94</v>
      </c>
      <c r="E39" s="14" t="n">
        <f aca="false">용접!E13</f>
        <v>9</v>
      </c>
      <c r="F39" s="11" t="str">
        <f aca="false">용접!D13</f>
        <v>대·일</v>
      </c>
      <c r="G39" s="14" t="n">
        <f aca="false">용접!F13</f>
        <v>400000</v>
      </c>
      <c r="H39" s="14" t="n">
        <f aca="false">용접!G13</f>
        <v>3600000</v>
      </c>
      <c r="I39" s="13" t="s">
        <v>95</v>
      </c>
    </row>
    <row r="40" customFormat="false" ht="19.5" hidden="false" customHeight="true" outlineLevel="0" collapsed="false">
      <c r="A40" s="11" t="n">
        <v>21</v>
      </c>
      <c r="B40" s="13" t="s">
        <v>96</v>
      </c>
      <c r="C40" s="13"/>
      <c r="D40" s="13" t="s">
        <v>97</v>
      </c>
      <c r="E40" s="14" t="n">
        <f aca="false">용접!E14</f>
        <v>1</v>
      </c>
      <c r="F40" s="11" t="str">
        <f aca="false">용접!D14</f>
        <v>SET</v>
      </c>
      <c r="G40" s="14" t="n">
        <f aca="false">용접!F14</f>
        <v>800000</v>
      </c>
      <c r="H40" s="14" t="n">
        <f aca="false">용접!G14</f>
        <v>800000</v>
      </c>
      <c r="I40" s="13"/>
    </row>
    <row r="41" customFormat="false" ht="19.5" hidden="false" customHeight="true" outlineLevel="0" collapsed="false">
      <c r="A41" s="11" t="n">
        <v>22</v>
      </c>
      <c r="B41" s="13" t="s">
        <v>98</v>
      </c>
      <c r="C41" s="13"/>
      <c r="D41" s="13" t="s">
        <v>99</v>
      </c>
      <c r="E41" s="14" t="n">
        <f aca="false">용접!E15</f>
        <v>1</v>
      </c>
      <c r="F41" s="11" t="str">
        <f aca="false">용접!D15</f>
        <v>식</v>
      </c>
      <c r="G41" s="14" t="n">
        <f aca="false">용접!F15</f>
        <v>3680000</v>
      </c>
      <c r="H41" s="14" t="n">
        <f aca="false">용접!G15</f>
        <v>3680000</v>
      </c>
      <c r="I41" s="13"/>
    </row>
    <row r="42" customFormat="false" ht="19.5" hidden="false" customHeight="true" outlineLevel="0" collapsed="false">
      <c r="A42" s="11" t="n">
        <v>23</v>
      </c>
      <c r="B42" s="13" t="s">
        <v>100</v>
      </c>
      <c r="C42" s="13"/>
      <c r="D42" s="13"/>
      <c r="E42" s="14" t="n">
        <f aca="false">용접!E16</f>
        <v>1</v>
      </c>
      <c r="F42" s="11" t="str">
        <f aca="false">용접!D16</f>
        <v>식</v>
      </c>
      <c r="G42" s="14" t="n">
        <f aca="false">용접!F16</f>
        <v>1000000</v>
      </c>
      <c r="H42" s="14" t="n">
        <f aca="false">용접!G16</f>
        <v>1000000</v>
      </c>
      <c r="I42" s="13"/>
    </row>
    <row r="43" customFormat="false" ht="19.5" hidden="false" customHeight="true" outlineLevel="0" collapsed="false">
      <c r="A43" s="11" t="n">
        <v>24</v>
      </c>
      <c r="B43" s="13" t="s">
        <v>101</v>
      </c>
      <c r="C43" s="13"/>
      <c r="D43" s="13" t="s">
        <v>102</v>
      </c>
      <c r="E43" s="14" t="n">
        <f aca="false">용접!E17</f>
        <v>24</v>
      </c>
      <c r="F43" s="11" t="str">
        <f aca="false">용접!D17</f>
        <v>대·일</v>
      </c>
      <c r="G43" s="14" t="n">
        <f aca="false">용접!F17</f>
        <v>100000</v>
      </c>
      <c r="H43" s="14" t="n">
        <f aca="false">용접!G17</f>
        <v>2400000</v>
      </c>
      <c r="I43" s="13" t="s">
        <v>103</v>
      </c>
    </row>
    <row r="44" customFormat="false" ht="19.5" hidden="false" customHeight="true" outlineLevel="0" collapsed="false">
      <c r="A44" s="11" t="n">
        <v>25</v>
      </c>
      <c r="B44" s="13" t="s">
        <v>70</v>
      </c>
      <c r="C44" s="13"/>
      <c r="D44" s="13" t="s">
        <v>104</v>
      </c>
      <c r="E44" s="14" t="n">
        <f aca="false">용접!E18</f>
        <v>1</v>
      </c>
      <c r="F44" s="11" t="str">
        <f aca="false">용접!D18</f>
        <v>식</v>
      </c>
      <c r="G44" s="14" t="n">
        <f aca="false">용접!F18</f>
        <v>1400000</v>
      </c>
      <c r="H44" s="14" t="n">
        <f aca="false">용접!G18</f>
        <v>1400000</v>
      </c>
      <c r="I44" s="13" t="s">
        <v>105</v>
      </c>
    </row>
    <row r="45" customFormat="false" ht="19.5" hidden="false" customHeight="true" outlineLevel="0" collapsed="false">
      <c r="A45" s="11" t="n">
        <v>26</v>
      </c>
      <c r="B45" s="13" t="s">
        <v>72</v>
      </c>
      <c r="C45" s="13"/>
      <c r="D45" s="13" t="s">
        <v>73</v>
      </c>
      <c r="E45" s="14" t="n">
        <v>1</v>
      </c>
      <c r="F45" s="11" t="s">
        <v>74</v>
      </c>
      <c r="G45" s="14" t="n">
        <f aca="false">H45</f>
        <v>5232000</v>
      </c>
      <c r="H45" s="14" t="n">
        <f aca="false">용접!$G$29-용접!$G$19-용접!$G$20-용접!$G$21</f>
        <v>5232000</v>
      </c>
      <c r="I45" s="13" t="s">
        <v>75</v>
      </c>
    </row>
    <row r="46" customFormat="false" ht="19.5" hidden="false" customHeight="true" outlineLevel="0" collapsed="false">
      <c r="A46" s="15" t="s">
        <v>106</v>
      </c>
      <c r="B46" s="15"/>
      <c r="C46" s="15"/>
      <c r="D46" s="15"/>
      <c r="E46" s="15"/>
      <c r="F46" s="15"/>
      <c r="G46" s="15"/>
      <c r="H46" s="16" t="n">
        <f aca="false">용접!$G$29</f>
        <v>27962000</v>
      </c>
      <c r="I46" s="17" t="s">
        <v>107</v>
      </c>
    </row>
    <row r="47" customFormat="false" ht="19.5" hidden="false" customHeight="true" outlineLevel="0" collapsed="false">
      <c r="A47" s="11"/>
      <c r="B47" s="12" t="s">
        <v>108</v>
      </c>
      <c r="C47" s="12"/>
      <c r="D47" s="12"/>
      <c r="E47" s="12"/>
      <c r="F47" s="12"/>
      <c r="G47" s="12"/>
      <c r="H47" s="12"/>
      <c r="I47" s="12"/>
    </row>
    <row r="48" customFormat="false" ht="19.5" hidden="false" customHeight="true" outlineLevel="0" collapsed="false">
      <c r="A48" s="11" t="n">
        <v>27</v>
      </c>
      <c r="B48" s="13" t="s">
        <v>109</v>
      </c>
      <c r="C48" s="13"/>
      <c r="D48" s="13" t="s">
        <v>110</v>
      </c>
      <c r="E48" s="14" t="n">
        <f aca="false">베이스!E8</f>
        <v>1</v>
      </c>
      <c r="F48" s="11" t="str">
        <f aca="false">베이스!D8</f>
        <v>식</v>
      </c>
      <c r="G48" s="14" t="n">
        <f aca="false">베이스!F8</f>
        <v>1800000</v>
      </c>
      <c r="H48" s="14" t="n">
        <f aca="false">베이스!G8</f>
        <v>1800000</v>
      </c>
      <c r="I48" s="13" t="s">
        <v>111</v>
      </c>
    </row>
    <row r="49" customFormat="false" ht="19.5" hidden="false" customHeight="true" outlineLevel="0" collapsed="false">
      <c r="A49" s="11" t="n">
        <v>28</v>
      </c>
      <c r="B49" s="13" t="s">
        <v>112</v>
      </c>
      <c r="C49" s="13"/>
      <c r="D49" s="13" t="s">
        <v>113</v>
      </c>
      <c r="E49" s="14" t="n">
        <f aca="false">베이스!E9</f>
        <v>1</v>
      </c>
      <c r="F49" s="11" t="str">
        <f aca="false">베이스!D9</f>
        <v>식</v>
      </c>
      <c r="G49" s="14" t="n">
        <f aca="false">베이스!F9</f>
        <v>160000</v>
      </c>
      <c r="H49" s="14" t="n">
        <f aca="false">베이스!G9</f>
        <v>160000</v>
      </c>
      <c r="I49" s="13"/>
    </row>
    <row r="50" customFormat="false" ht="19.5" hidden="false" customHeight="true" outlineLevel="0" collapsed="false">
      <c r="A50" s="11" t="n">
        <v>29</v>
      </c>
      <c r="B50" s="13" t="s">
        <v>114</v>
      </c>
      <c r="C50" s="13"/>
      <c r="D50" s="13" t="s">
        <v>115</v>
      </c>
      <c r="E50" s="14" t="n">
        <f aca="false">베이스!E10</f>
        <v>3</v>
      </c>
      <c r="F50" s="11" t="str">
        <f aca="false">베이스!D10</f>
        <v>인·일</v>
      </c>
      <c r="G50" s="14" t="n">
        <f aca="false">베이스!F10</f>
        <v>350000</v>
      </c>
      <c r="H50" s="14" t="n">
        <f aca="false">베이스!G10</f>
        <v>1050000</v>
      </c>
      <c r="I50" s="13" t="s">
        <v>116</v>
      </c>
    </row>
    <row r="51" customFormat="false" ht="19.5" hidden="false" customHeight="true" outlineLevel="0" collapsed="false">
      <c r="A51" s="15" t="s">
        <v>117</v>
      </c>
      <c r="B51" s="15"/>
      <c r="C51" s="15"/>
      <c r="D51" s="15"/>
      <c r="E51" s="15"/>
      <c r="F51" s="15"/>
      <c r="G51" s="15"/>
      <c r="H51" s="16" t="n">
        <f aca="false">베이스!$G$21</f>
        <v>3010000</v>
      </c>
      <c r="I51" s="17" t="s">
        <v>118</v>
      </c>
    </row>
    <row r="52" customFormat="false" ht="19.5" hidden="false" customHeight="true" outlineLevel="0" collapsed="false">
      <c r="A52" s="18" t="s">
        <v>119</v>
      </c>
      <c r="B52" s="18"/>
      <c r="C52" s="18"/>
      <c r="D52" s="18"/>
      <c r="E52" s="18"/>
      <c r="F52" s="18"/>
      <c r="G52" s="18"/>
      <c r="H52" s="19" t="n">
        <f aca="false">H32+H46+H51</f>
        <v>66188000</v>
      </c>
      <c r="I52" s="20"/>
    </row>
    <row r="53" customFormat="false" ht="19.5" hidden="false" customHeight="true" outlineLevel="0" collapsed="false">
      <c r="A53" s="18" t="s">
        <v>120</v>
      </c>
      <c r="B53" s="18"/>
      <c r="C53" s="18"/>
      <c r="D53" s="18"/>
      <c r="E53" s="18"/>
      <c r="F53" s="18"/>
      <c r="G53" s="18"/>
      <c r="H53" s="19" t="n">
        <v>-2551636</v>
      </c>
      <c r="I53" s="20" t="s">
        <v>121</v>
      </c>
    </row>
    <row r="54" customFormat="false" ht="19.5" hidden="false" customHeight="true" outlineLevel="0" collapsed="false">
      <c r="A54" s="18" t="s">
        <v>122</v>
      </c>
      <c r="B54" s="18"/>
      <c r="C54" s="18"/>
      <c r="D54" s="18"/>
      <c r="E54" s="18"/>
      <c r="F54" s="18"/>
      <c r="G54" s="18"/>
      <c r="H54" s="19" t="n">
        <f aca="false">H52+H53</f>
        <v>63636364</v>
      </c>
      <c r="I54" s="20"/>
    </row>
    <row r="55" customFormat="false" ht="19.5" hidden="false" customHeight="true" outlineLevel="0" collapsed="false">
      <c r="A55" s="18" t="s">
        <v>123</v>
      </c>
      <c r="B55" s="18"/>
      <c r="C55" s="18"/>
      <c r="D55" s="18"/>
      <c r="E55" s="18"/>
      <c r="F55" s="18"/>
      <c r="G55" s="18"/>
      <c r="H55" s="19" t="n">
        <f aca="false">ROUND(H54*0.1,0)</f>
        <v>6363636</v>
      </c>
      <c r="I55" s="20"/>
    </row>
    <row r="56" customFormat="false" ht="25.5" hidden="false" customHeight="true" outlineLevel="0" collapsed="false">
      <c r="A56" s="21" t="s">
        <v>124</v>
      </c>
      <c r="B56" s="21"/>
      <c r="C56" s="21"/>
      <c r="D56" s="21"/>
      <c r="E56" s="21"/>
      <c r="F56" s="21"/>
      <c r="G56" s="21"/>
      <c r="H56" s="22" t="n">
        <f aca="false">H54+H55</f>
        <v>70000000</v>
      </c>
      <c r="I56" s="23"/>
    </row>
    <row r="58" customFormat="false" ht="21.75" hidden="false" customHeight="true" outlineLevel="0" collapsed="false">
      <c r="A58" s="6" t="s">
        <v>125</v>
      </c>
    </row>
    <row r="59" customFormat="false" ht="30" hidden="false" customHeight="true" outlineLevel="0" collapsed="false">
      <c r="A59" s="24" t="s">
        <v>126</v>
      </c>
      <c r="B59" s="24"/>
      <c r="C59" s="24"/>
      <c r="D59" s="24"/>
      <c r="E59" s="24"/>
      <c r="F59" s="24"/>
      <c r="G59" s="24"/>
      <c r="H59" s="24"/>
      <c r="I59" s="24"/>
    </row>
    <row r="60" customFormat="false" ht="30" hidden="false" customHeight="true" outlineLevel="0" collapsed="false">
      <c r="A60" s="24" t="s">
        <v>127</v>
      </c>
      <c r="B60" s="24"/>
      <c r="C60" s="24"/>
      <c r="D60" s="24"/>
      <c r="E60" s="24"/>
      <c r="F60" s="24"/>
      <c r="G60" s="24"/>
      <c r="H60" s="24"/>
      <c r="I60" s="24"/>
    </row>
    <row r="61" customFormat="false" ht="19.5" hidden="false" customHeight="true" outlineLevel="0" collapsed="false">
      <c r="A61" s="24" t="s">
        <v>128</v>
      </c>
      <c r="B61" s="24"/>
      <c r="C61" s="24"/>
      <c r="D61" s="24"/>
      <c r="E61" s="24"/>
      <c r="F61" s="24"/>
      <c r="G61" s="24"/>
      <c r="H61" s="24"/>
      <c r="I61" s="24"/>
    </row>
    <row r="62" customFormat="false" ht="30" hidden="false" customHeight="true" outlineLevel="0" collapsed="false">
      <c r="A62" s="24" t="s">
        <v>129</v>
      </c>
      <c r="B62" s="24"/>
      <c r="C62" s="24"/>
      <c r="D62" s="24"/>
      <c r="E62" s="24"/>
      <c r="F62" s="24"/>
      <c r="G62" s="24"/>
      <c r="H62" s="24"/>
      <c r="I62" s="24"/>
    </row>
    <row r="63" customFormat="false" ht="30" hidden="false" customHeight="true" outlineLevel="0" collapsed="false">
      <c r="A63" s="24" t="s">
        <v>130</v>
      </c>
      <c r="B63" s="24"/>
      <c r="C63" s="24"/>
      <c r="D63" s="24"/>
      <c r="E63" s="24"/>
      <c r="F63" s="24"/>
      <c r="G63" s="24"/>
      <c r="H63" s="24"/>
      <c r="I63" s="24"/>
    </row>
    <row r="64" customFormat="false" ht="19.5" hidden="false" customHeight="true" outlineLevel="0" collapsed="false">
      <c r="A64" s="24" t="s">
        <v>131</v>
      </c>
      <c r="B64" s="24"/>
      <c r="C64" s="24"/>
      <c r="D64" s="24"/>
      <c r="E64" s="24"/>
      <c r="F64" s="24"/>
      <c r="G64" s="24"/>
      <c r="H64" s="24"/>
      <c r="I64" s="24"/>
    </row>
    <row r="65" customFormat="false" ht="30" hidden="false" customHeight="true" outlineLevel="0" collapsed="false">
      <c r="A65" s="24" t="s">
        <v>132</v>
      </c>
      <c r="B65" s="24"/>
      <c r="C65" s="24"/>
      <c r="D65" s="24"/>
      <c r="E65" s="24"/>
      <c r="F65" s="24"/>
      <c r="G65" s="24"/>
      <c r="H65" s="24"/>
      <c r="I65" s="24"/>
    </row>
    <row r="66" customFormat="false" ht="19.5" hidden="false" customHeight="true" outlineLevel="0" collapsed="false">
      <c r="A66" s="24" t="s">
        <v>133</v>
      </c>
      <c r="B66" s="24"/>
      <c r="C66" s="24"/>
      <c r="D66" s="24"/>
      <c r="E66" s="24"/>
      <c r="F66" s="24"/>
      <c r="G66" s="24"/>
      <c r="H66" s="24"/>
      <c r="I66" s="24"/>
    </row>
    <row r="68" customFormat="false" ht="21.75" hidden="false" customHeight="true" outlineLevel="0" collapsed="false">
      <c r="A68" s="25" t="s">
        <v>134</v>
      </c>
      <c r="B68" s="25"/>
      <c r="C68" s="25"/>
      <c r="D68" s="25"/>
      <c r="E68" s="25"/>
      <c r="F68" s="25"/>
      <c r="G68" s="25"/>
      <c r="H68" s="25"/>
      <c r="I68" s="25"/>
    </row>
    <row r="69" customFormat="false" ht="21.75" hidden="false" customHeight="true" outlineLevel="0" collapsed="false">
      <c r="A69" s="25" t="s">
        <v>135</v>
      </c>
      <c r="B69" s="25"/>
      <c r="C69" s="25"/>
      <c r="D69" s="25"/>
      <c r="E69" s="25"/>
      <c r="F69" s="25"/>
      <c r="G69" s="25"/>
      <c r="H69" s="25"/>
      <c r="I69" s="25"/>
    </row>
    <row r="70" customFormat="false" ht="25.5" hidden="false" customHeight="true" outlineLevel="0" collapsed="false">
      <c r="A70" s="26" t="s">
        <v>136</v>
      </c>
      <c r="B70" s="26"/>
      <c r="C70" s="26"/>
      <c r="D70" s="26"/>
      <c r="E70" s="26"/>
      <c r="F70" s="26"/>
      <c r="G70" s="26"/>
      <c r="H70" s="26"/>
      <c r="I70" s="26"/>
    </row>
    <row r="72" customFormat="false" ht="18" hidden="false" customHeight="true" outlineLevel="0" collapsed="false">
      <c r="A72" s="27" t="s">
        <v>137</v>
      </c>
      <c r="B72" s="27"/>
      <c r="C72" s="27"/>
      <c r="D72" s="27"/>
      <c r="E72" s="27"/>
      <c r="F72" s="27"/>
      <c r="G72" s="27"/>
      <c r="H72" s="27"/>
      <c r="I72" s="27"/>
    </row>
  </sheetData>
  <mergeCells count="74">
    <mergeCell ref="A1:D1"/>
    <mergeCell ref="A2:D2"/>
    <mergeCell ref="B6:D6"/>
    <mergeCell ref="F6:G6"/>
    <mergeCell ref="H6:I6"/>
    <mergeCell ref="B7:D7"/>
    <mergeCell ref="F7:G7"/>
    <mergeCell ref="H7:I7"/>
    <mergeCell ref="B8:D8"/>
    <mergeCell ref="F8:G8"/>
    <mergeCell ref="H8:I8"/>
    <mergeCell ref="B9:D9"/>
    <mergeCell ref="F9:G9"/>
    <mergeCell ref="H9:I9"/>
    <mergeCell ref="B10:D10"/>
    <mergeCell ref="F10:G10"/>
    <mergeCell ref="H10:I10"/>
    <mergeCell ref="B11:D11"/>
    <mergeCell ref="F11:G11"/>
    <mergeCell ref="H11:I11"/>
    <mergeCell ref="A13:I13"/>
    <mergeCell ref="B16:C16"/>
    <mergeCell ref="B17:I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B33:I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A46:G46"/>
    <mergeCell ref="B47:I47"/>
    <mergeCell ref="B48:C48"/>
    <mergeCell ref="B49:C49"/>
    <mergeCell ref="B50:C50"/>
    <mergeCell ref="A51:G51"/>
    <mergeCell ref="A52:G52"/>
    <mergeCell ref="A53:G53"/>
    <mergeCell ref="A54:G54"/>
    <mergeCell ref="A55:G55"/>
    <mergeCell ref="A56:G56"/>
    <mergeCell ref="A59:I59"/>
    <mergeCell ref="A60:I60"/>
    <mergeCell ref="A61:I61"/>
    <mergeCell ref="A62:I62"/>
    <mergeCell ref="A63:I63"/>
    <mergeCell ref="A64:I64"/>
    <mergeCell ref="A65:I65"/>
    <mergeCell ref="A66:I66"/>
    <mergeCell ref="A68:I68"/>
    <mergeCell ref="A69:I69"/>
    <mergeCell ref="A70:I70"/>
    <mergeCell ref="A72:I72"/>
  </mergeCells>
  <printOptions headings="false" gridLines="false" gridLinesSet="true" horizontalCentered="false" verticalCentered="false"/>
  <pageMargins left="0.629861111111111" right="0.629861111111111" top="0.709722222222222" bottom="0.709722222222222" header="0.511811023622047" footer="0.3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&amp;L&amp;"Pretendard,Regular"&amp;8 엔엠솔루션  |  경기도 평택시 고덕동 도시지원로 121 지식공장아이타워 906호  |  대표전화 1800-5901  |  직통 010-2369-3691  |  nm-solution.co.kr&amp;R&amp;"Pretendard,Regular"&amp;8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5"/>
    <col collapsed="false" customWidth="true" hidden="false" outlineLevel="0" max="5" min="5" style="0" width="16"/>
    <col collapsed="false" customWidth="true" hidden="false" outlineLevel="0" max="6" min="6" style="0" width="9"/>
  </cols>
  <sheetData>
    <row r="1" customFormat="false" ht="15" hidden="false" customHeight="true" outlineLevel="0" collapsed="false">
      <c r="A1" s="28" t="s">
        <v>138</v>
      </c>
      <c r="B1" s="28"/>
      <c r="C1" s="28"/>
      <c r="D1" s="28"/>
      <c r="E1" s="28"/>
      <c r="F1" s="28"/>
    </row>
    <row r="2" customFormat="false" ht="15" hidden="false" customHeight="false" outlineLevel="0" collapsed="false">
      <c r="A2" s="28"/>
      <c r="B2" s="28"/>
      <c r="C2" s="28"/>
      <c r="D2" s="28"/>
      <c r="E2" s="28"/>
      <c r="F2" s="28"/>
    </row>
    <row r="3" customFormat="false" ht="15" hidden="false" customHeight="true" outlineLevel="0" collapsed="false">
      <c r="A3" s="29" t="s">
        <v>139</v>
      </c>
      <c r="B3" s="29"/>
      <c r="C3" s="29"/>
      <c r="D3" s="29"/>
      <c r="E3" s="29"/>
      <c r="F3" s="29"/>
    </row>
    <row r="5" customFormat="false" ht="15" hidden="false" customHeight="false" outlineLevel="0" collapsed="false">
      <c r="A5" s="10" t="s">
        <v>140</v>
      </c>
      <c r="B5" s="10" t="s">
        <v>141</v>
      </c>
      <c r="C5" s="10" t="s">
        <v>142</v>
      </c>
      <c r="D5" s="10" t="s">
        <v>143</v>
      </c>
      <c r="E5" s="10" t="s">
        <v>144</v>
      </c>
      <c r="F5" s="10" t="s">
        <v>145</v>
      </c>
    </row>
    <row r="6" customFormat="false" ht="21.75" hidden="false" customHeight="true" outlineLevel="0" collapsed="false">
      <c r="A6" s="30" t="s">
        <v>146</v>
      </c>
      <c r="B6" s="14" t="n">
        <f aca="false">도비!$G$21</f>
        <v>1380000</v>
      </c>
      <c r="C6" s="14" t="n">
        <f aca="false">용접!$G$19</f>
        <v>3680000</v>
      </c>
      <c r="D6" s="14" t="n">
        <f aca="false">베이스!$G$11</f>
        <v>1800000</v>
      </c>
      <c r="E6" s="31" t="n">
        <f aca="false">SUM(B6:D6)</f>
        <v>6860000</v>
      </c>
      <c r="F6" s="32" t="n">
        <f aca="false">E6/$E$16</f>
        <v>0.103644165105457</v>
      </c>
    </row>
    <row r="7" customFormat="false" ht="21.75" hidden="false" customHeight="true" outlineLevel="0" collapsed="false">
      <c r="A7" s="30" t="s">
        <v>147</v>
      </c>
      <c r="B7" s="14" t="n">
        <f aca="false">도비!$G$22</f>
        <v>9120000</v>
      </c>
      <c r="C7" s="14" t="n">
        <f aca="false">용접!$G$20</f>
        <v>9850000</v>
      </c>
      <c r="D7" s="14" t="n">
        <f aca="false">베이스!$G$12</f>
        <v>1050000</v>
      </c>
      <c r="E7" s="31" t="n">
        <f aca="false">SUM(B7:D7)</f>
        <v>20020000</v>
      </c>
      <c r="F7" s="32" t="n">
        <f aca="false">E7/$E$16</f>
        <v>0.302471747144498</v>
      </c>
    </row>
    <row r="8" customFormat="false" ht="21.75" hidden="false" customHeight="true" outlineLevel="0" collapsed="false">
      <c r="A8" s="30" t="s">
        <v>70</v>
      </c>
      <c r="B8" s="14" t="n">
        <f aca="false">도비!$G$23</f>
        <v>18080000</v>
      </c>
      <c r="C8" s="14" t="n">
        <f aca="false">용접!$G$21</f>
        <v>9200000</v>
      </c>
      <c r="D8" s="14" t="n">
        <f aca="false">베이스!$G$13</f>
        <v>160000</v>
      </c>
      <c r="E8" s="31" t="n">
        <f aca="false">SUM(B8:D8)</f>
        <v>27440000</v>
      </c>
      <c r="F8" s="32" t="n">
        <f aca="false">E8/$E$16</f>
        <v>0.414576660421829</v>
      </c>
    </row>
    <row r="9" customFormat="false" ht="21.75" hidden="false" customHeight="true" outlineLevel="0" collapsed="false">
      <c r="A9" s="30" t="s">
        <v>148</v>
      </c>
      <c r="B9" s="14" t="n">
        <f aca="false">도비!$G$24</f>
        <v>324672</v>
      </c>
      <c r="C9" s="14" t="n">
        <f aca="false">용접!$G$22</f>
        <v>350660</v>
      </c>
      <c r="D9" s="14" t="n">
        <f aca="false">베이스!$G$14</f>
        <v>0</v>
      </c>
      <c r="E9" s="31" t="n">
        <f aca="false">SUM(B9:D9)</f>
        <v>675332</v>
      </c>
      <c r="F9" s="32" t="n">
        <f aca="false">E9/$E$16</f>
        <v>0.0102032392578715</v>
      </c>
    </row>
    <row r="10" customFormat="false" ht="21.75" hidden="false" customHeight="true" outlineLevel="0" collapsed="false">
      <c r="A10" s="30" t="s">
        <v>149</v>
      </c>
      <c r="B10" s="14" t="n">
        <f aca="false">도비!$G$25</f>
        <v>104880</v>
      </c>
      <c r="C10" s="14" t="n">
        <f aca="false">용접!$G$23</f>
        <v>113275</v>
      </c>
      <c r="D10" s="14" t="n">
        <f aca="false">베이스!$G$15</f>
        <v>0</v>
      </c>
      <c r="E10" s="31" t="n">
        <f aca="false">SUM(B10:D10)</f>
        <v>218155</v>
      </c>
      <c r="F10" s="32" t="n">
        <f aca="false">E10/$E$16</f>
        <v>0.00329599020970569</v>
      </c>
    </row>
    <row r="11" customFormat="false" ht="21.75" hidden="false" customHeight="true" outlineLevel="0" collapsed="false">
      <c r="A11" s="30" t="s">
        <v>150</v>
      </c>
      <c r="B11" s="14" t="n">
        <f aca="false">도비!$G$26</f>
        <v>326550</v>
      </c>
      <c r="C11" s="14" t="n">
        <f aca="false">용접!$G$24</f>
        <v>420783</v>
      </c>
      <c r="D11" s="14" t="n">
        <f aca="false">베이스!$G$16</f>
        <v>0</v>
      </c>
      <c r="E11" s="31" t="n">
        <f aca="false">SUM(B11:D11)</f>
        <v>747333</v>
      </c>
      <c r="F11" s="32" t="n">
        <f aca="false">E11/$E$16</f>
        <v>0.0112910648455913</v>
      </c>
    </row>
    <row r="12" customFormat="false" ht="21.75" hidden="false" customHeight="true" outlineLevel="0" collapsed="false">
      <c r="A12" s="18" t="s">
        <v>151</v>
      </c>
      <c r="B12" s="19" t="n">
        <f aca="false">도비!$G$27</f>
        <v>29336102</v>
      </c>
      <c r="C12" s="19" t="n">
        <f aca="false">용접!$G$25</f>
        <v>23614718</v>
      </c>
      <c r="D12" s="19" t="n">
        <f aca="false">베이스!$G$17</f>
        <v>3010000</v>
      </c>
      <c r="E12" s="19" t="n">
        <f aca="false">SUM(B12:D12)</f>
        <v>55960820</v>
      </c>
      <c r="F12" s="33" t="n">
        <f aca="false">E12/$E$16</f>
        <v>0.845482866984952</v>
      </c>
    </row>
    <row r="13" customFormat="false" ht="21.75" hidden="false" customHeight="true" outlineLevel="0" collapsed="false">
      <c r="A13" s="30" t="s">
        <v>152</v>
      </c>
      <c r="B13" s="14" t="n">
        <f aca="false">도비!$G$28</f>
        <v>1466805.1</v>
      </c>
      <c r="C13" s="14" t="n">
        <f aca="false">용접!$G$26</f>
        <v>1180735.9</v>
      </c>
      <c r="D13" s="14" t="n">
        <f aca="false">베이스!$G$18</f>
        <v>0</v>
      </c>
      <c r="E13" s="31" t="n">
        <f aca="false">SUM(B13:D13)</f>
        <v>2647541</v>
      </c>
      <c r="F13" s="32" t="n">
        <f aca="false">E13/$E$16</f>
        <v>0.0400003172780564</v>
      </c>
    </row>
    <row r="14" customFormat="false" ht="21.75" hidden="false" customHeight="true" outlineLevel="0" collapsed="false">
      <c r="A14" s="30" t="s">
        <v>153</v>
      </c>
      <c r="B14" s="14" t="n">
        <f aca="false">도비!$G$29</f>
        <v>4413436.065</v>
      </c>
      <c r="C14" s="14" t="n">
        <f aca="false">용접!$G$27</f>
        <v>3167318.085</v>
      </c>
      <c r="D14" s="14" t="n">
        <f aca="false">베이스!$G$19</f>
        <v>0</v>
      </c>
      <c r="E14" s="31" t="n">
        <f aca="false">SUM(B14:D14)</f>
        <v>7580754.15</v>
      </c>
      <c r="F14" s="32" t="n">
        <f aca="false">E14/$E$16</f>
        <v>0.114533663957213</v>
      </c>
    </row>
    <row r="15" customFormat="false" ht="21.75" hidden="false" customHeight="true" outlineLevel="0" collapsed="false">
      <c r="A15" s="30" t="s">
        <v>154</v>
      </c>
      <c r="B15" s="14" t="n">
        <f aca="false">도비!$G$30</f>
        <v>-343.164999999106</v>
      </c>
      <c r="C15" s="14" t="n">
        <f aca="false">용접!$G$28</f>
        <v>-771.984999999404</v>
      </c>
      <c r="D15" s="14" t="n">
        <f aca="false">베이스!$G$20</f>
        <v>-0</v>
      </c>
      <c r="E15" s="31" t="n">
        <f aca="false">SUM(B15:D15)</f>
        <v>-1115.14999999851</v>
      </c>
      <c r="F15" s="32" t="n">
        <f aca="false">E15/$E$16</f>
        <v>-1.68482202211656E-005</v>
      </c>
    </row>
    <row r="16" customFormat="false" ht="21.75" hidden="false" customHeight="true" outlineLevel="0" collapsed="false">
      <c r="A16" s="18" t="s">
        <v>119</v>
      </c>
      <c r="B16" s="19" t="n">
        <f aca="false">도비!$G$31</f>
        <v>35216000</v>
      </c>
      <c r="C16" s="19" t="n">
        <f aca="false">용접!$G$29</f>
        <v>27962000</v>
      </c>
      <c r="D16" s="19" t="n">
        <f aca="false">베이스!$G$21</f>
        <v>3010000</v>
      </c>
      <c r="E16" s="19" t="n">
        <f aca="false">SUM(B16:D16)</f>
        <v>66188000</v>
      </c>
      <c r="F16" s="33" t="n">
        <f aca="false">E16/$E$16</f>
        <v>1</v>
      </c>
    </row>
    <row r="17" customFormat="false" ht="20.85" hidden="false" customHeight="false" outlineLevel="0" collapsed="false">
      <c r="A17" s="11" t="s">
        <v>120</v>
      </c>
      <c r="B17" s="14"/>
      <c r="C17" s="14"/>
      <c r="D17" s="14"/>
      <c r="E17" s="14" t="n">
        <v>-2551636</v>
      </c>
      <c r="F17" s="34" t="s">
        <v>121</v>
      </c>
    </row>
    <row r="18" customFormat="false" ht="15" hidden="false" customHeight="false" outlineLevel="0" collapsed="false">
      <c r="A18" s="18" t="s">
        <v>122</v>
      </c>
      <c r="B18" s="19"/>
      <c r="C18" s="19"/>
      <c r="D18" s="19"/>
      <c r="E18" s="19" t="n">
        <f aca="false">E16+E17</f>
        <v>63636364</v>
      </c>
      <c r="F18" s="19"/>
    </row>
    <row r="19" customFormat="false" ht="15" hidden="false" customHeight="false" outlineLevel="0" collapsed="false">
      <c r="A19" s="11" t="s">
        <v>155</v>
      </c>
      <c r="B19" s="14"/>
      <c r="C19" s="14"/>
      <c r="D19" s="14"/>
      <c r="E19" s="14" t="n">
        <f aca="false">ROUND(E18*0.1,0)</f>
        <v>6363636</v>
      </c>
      <c r="F19" s="14"/>
    </row>
    <row r="20" customFormat="false" ht="15" hidden="false" customHeight="false" outlineLevel="0" collapsed="false">
      <c r="A20" s="35" t="s">
        <v>156</v>
      </c>
      <c r="B20" s="36"/>
      <c r="C20" s="36"/>
      <c r="D20" s="36"/>
      <c r="E20" s="36" t="n">
        <f aca="false">E18+E19</f>
        <v>70000000</v>
      </c>
      <c r="F20" s="36"/>
    </row>
    <row r="22" customFormat="false" ht="30" hidden="false" customHeight="true" outlineLevel="0" collapsed="false">
      <c r="A22" s="37" t="s">
        <v>157</v>
      </c>
      <c r="B22" s="37"/>
      <c r="C22" s="37"/>
      <c r="D22" s="37"/>
      <c r="E22" s="37"/>
      <c r="F22" s="37"/>
    </row>
    <row r="24" customFormat="false" ht="15" hidden="false" customHeight="false" outlineLevel="0" collapsed="false">
      <c r="A24" s="38" t="s">
        <v>158</v>
      </c>
    </row>
    <row r="25" customFormat="false" ht="15" hidden="false" customHeight="true" outlineLevel="0" collapsed="false">
      <c r="A25" s="10" t="s">
        <v>159</v>
      </c>
      <c r="B25" s="10" t="s">
        <v>160</v>
      </c>
      <c r="C25" s="10"/>
      <c r="D25" s="10" t="s">
        <v>161</v>
      </c>
      <c r="E25" s="10" t="s">
        <v>162</v>
      </c>
      <c r="F25" s="10"/>
    </row>
    <row r="26" customFormat="false" ht="30" hidden="false" customHeight="true" outlineLevel="0" collapsed="false">
      <c r="A26" s="13" t="s">
        <v>148</v>
      </c>
      <c r="B26" s="13" t="s">
        <v>163</v>
      </c>
      <c r="C26" s="13"/>
      <c r="D26" s="39" t="n">
        <v>0.0356</v>
      </c>
      <c r="E26" s="40" t="s">
        <v>164</v>
      </c>
      <c r="F26" s="40"/>
    </row>
    <row r="27" customFormat="false" ht="30" hidden="false" customHeight="true" outlineLevel="0" collapsed="false">
      <c r="A27" s="13" t="s">
        <v>149</v>
      </c>
      <c r="B27" s="13" t="s">
        <v>163</v>
      </c>
      <c r="C27" s="13"/>
      <c r="D27" s="39" t="n">
        <v>0.0115</v>
      </c>
      <c r="E27" s="40" t="s">
        <v>165</v>
      </c>
      <c r="F27" s="40"/>
    </row>
    <row r="28" customFormat="false" ht="30" hidden="false" customHeight="true" outlineLevel="0" collapsed="false">
      <c r="A28" s="13" t="s">
        <v>150</v>
      </c>
      <c r="B28" s="13" t="s">
        <v>166</v>
      </c>
      <c r="C28" s="13"/>
      <c r="D28" s="39" t="n">
        <v>0.0311</v>
      </c>
      <c r="E28" s="40" t="s">
        <v>167</v>
      </c>
      <c r="F28" s="40"/>
    </row>
    <row r="29" customFormat="false" ht="30" hidden="false" customHeight="true" outlineLevel="0" collapsed="false">
      <c r="A29" s="13" t="s">
        <v>152</v>
      </c>
      <c r="B29" s="13" t="s">
        <v>168</v>
      </c>
      <c r="C29" s="13"/>
      <c r="D29" s="39" t="n">
        <v>0.05</v>
      </c>
      <c r="E29" s="40" t="s">
        <v>169</v>
      </c>
      <c r="F29" s="40"/>
    </row>
    <row r="30" customFormat="false" ht="30" hidden="false" customHeight="true" outlineLevel="0" collapsed="false">
      <c r="A30" s="13" t="s">
        <v>153</v>
      </c>
      <c r="B30" s="13" t="s">
        <v>170</v>
      </c>
      <c r="C30" s="13"/>
      <c r="D30" s="39" t="n">
        <v>0.15</v>
      </c>
      <c r="E30" s="40" t="s">
        <v>171</v>
      </c>
      <c r="F30" s="40"/>
    </row>
  </sheetData>
  <mergeCells count="15">
    <mergeCell ref="A1:F2"/>
    <mergeCell ref="A3:F3"/>
    <mergeCell ref="A22:F22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</mergeCells>
  <printOptions headings="false" gridLines="false" gridLinesSet="true" horizontalCentered="false" verticalCentered="false"/>
  <pageMargins left="0.629861111111111" right="0.629861111111111" top="0.709722222222222" bottom="0.709722222222222" header="0.511811023622047" footer="0.3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&amp;L&amp;"Pretendard,Regular"&amp;8 엔엠솔루션  |  경기도 평택시 고덕동 도시지원로 121 지식공장아이타워 906호  |  대표전화 1800-5901  |  직통 010-2369-3691  |  nm-solution.co.kr&amp;R&amp;"Pretendard,Regular"&amp;8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14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41" t="s">
        <v>172</v>
      </c>
    </row>
    <row r="2" customFormat="false" ht="15" hidden="false" customHeight="false" outlineLevel="0" collapsed="false">
      <c r="A2" s="42" t="s">
        <v>173</v>
      </c>
    </row>
    <row r="4" customFormat="false" ht="15" hidden="false" customHeight="false" outlineLevel="0" collapsed="false">
      <c r="A4" s="10" t="s">
        <v>174</v>
      </c>
      <c r="B4" s="10" t="s">
        <v>30</v>
      </c>
      <c r="C4" s="10" t="s">
        <v>31</v>
      </c>
      <c r="D4" s="10" t="s">
        <v>175</v>
      </c>
      <c r="E4" s="10" t="s">
        <v>176</v>
      </c>
      <c r="F4" s="10" t="s">
        <v>162</v>
      </c>
    </row>
    <row r="5" customFormat="false" ht="15" hidden="false" customHeight="false" outlineLevel="0" collapsed="false">
      <c r="A5" s="13" t="s">
        <v>141</v>
      </c>
      <c r="B5" s="13" t="s">
        <v>38</v>
      </c>
      <c r="C5" s="13" t="s">
        <v>39</v>
      </c>
      <c r="D5" s="13" t="s">
        <v>177</v>
      </c>
      <c r="E5" s="43" t="n">
        <f aca="false">도비!G8</f>
        <v>6300000</v>
      </c>
      <c r="F5" s="13" t="s">
        <v>178</v>
      </c>
    </row>
    <row r="6" customFormat="false" ht="15" hidden="false" customHeight="false" outlineLevel="0" collapsed="false">
      <c r="A6" s="13" t="s">
        <v>141</v>
      </c>
      <c r="B6" s="13" t="s">
        <v>41</v>
      </c>
      <c r="C6" s="13" t="s">
        <v>42</v>
      </c>
      <c r="D6" s="13" t="s">
        <v>179</v>
      </c>
      <c r="E6" s="43" t="n">
        <f aca="false">도비!G9</f>
        <v>1040000</v>
      </c>
      <c r="F6" s="13" t="s">
        <v>180</v>
      </c>
    </row>
    <row r="7" customFormat="false" ht="15" hidden="false" customHeight="false" outlineLevel="0" collapsed="false">
      <c r="A7" s="13" t="s">
        <v>141</v>
      </c>
      <c r="B7" s="13" t="s">
        <v>44</v>
      </c>
      <c r="C7" s="13" t="s">
        <v>45</v>
      </c>
      <c r="D7" s="13" t="s">
        <v>181</v>
      </c>
      <c r="E7" s="43" t="n">
        <f aca="false">도비!G10</f>
        <v>1280000</v>
      </c>
      <c r="F7" s="13" t="s">
        <v>180</v>
      </c>
    </row>
    <row r="8" customFormat="false" ht="15" hidden="false" customHeight="false" outlineLevel="0" collapsed="false">
      <c r="A8" s="13" t="s">
        <v>141</v>
      </c>
      <c r="B8" s="13" t="s">
        <v>47</v>
      </c>
      <c r="C8" s="13" t="s">
        <v>48</v>
      </c>
      <c r="D8" s="13" t="s">
        <v>182</v>
      </c>
      <c r="E8" s="43" t="n">
        <f aca="false">도비!G11</f>
        <v>10000000</v>
      </c>
      <c r="F8" s="13" t="s">
        <v>183</v>
      </c>
    </row>
    <row r="9" customFormat="false" ht="15" hidden="false" customHeight="false" outlineLevel="0" collapsed="false">
      <c r="A9" s="13" t="s">
        <v>141</v>
      </c>
      <c r="B9" s="13" t="s">
        <v>50</v>
      </c>
      <c r="C9" s="13" t="s">
        <v>51</v>
      </c>
      <c r="D9" s="13" t="s">
        <v>184</v>
      </c>
      <c r="E9" s="43" t="n">
        <f aca="false">도비!G12</f>
        <v>640000</v>
      </c>
      <c r="F9" s="13" t="s">
        <v>185</v>
      </c>
    </row>
    <row r="10" customFormat="false" ht="15" hidden="false" customHeight="false" outlineLevel="0" collapsed="false">
      <c r="A10" s="13" t="s">
        <v>141</v>
      </c>
      <c r="B10" s="13" t="s">
        <v>53</v>
      </c>
      <c r="C10" s="13" t="s">
        <v>54</v>
      </c>
      <c r="D10" s="13" t="s">
        <v>186</v>
      </c>
      <c r="E10" s="43" t="n">
        <f aca="false">도비!G13</f>
        <v>2000000</v>
      </c>
      <c r="F10" s="13" t="s">
        <v>185</v>
      </c>
    </row>
    <row r="11" customFormat="false" ht="15" hidden="false" customHeight="false" outlineLevel="0" collapsed="false">
      <c r="A11" s="13" t="s">
        <v>141</v>
      </c>
      <c r="B11" s="13" t="s">
        <v>56</v>
      </c>
      <c r="C11" s="13" t="s">
        <v>57</v>
      </c>
      <c r="D11" s="13" t="s">
        <v>187</v>
      </c>
      <c r="E11" s="43" t="n">
        <f aca="false">도비!G14</f>
        <v>3000000</v>
      </c>
      <c r="F11" s="13" t="s">
        <v>188</v>
      </c>
    </row>
    <row r="12" customFormat="false" ht="15" hidden="false" customHeight="false" outlineLevel="0" collapsed="false">
      <c r="A12" s="13" t="s">
        <v>141</v>
      </c>
      <c r="B12" s="13" t="s">
        <v>58</v>
      </c>
      <c r="C12" s="13" t="s">
        <v>59</v>
      </c>
      <c r="D12" s="13" t="s">
        <v>187</v>
      </c>
      <c r="E12" s="43" t="n">
        <f aca="false">도비!G15</f>
        <v>1000000</v>
      </c>
      <c r="F12" s="13" t="s">
        <v>189</v>
      </c>
    </row>
    <row r="13" customFormat="false" ht="23.85" hidden="false" customHeight="false" outlineLevel="0" collapsed="false">
      <c r="A13" s="13" t="s">
        <v>141</v>
      </c>
      <c r="B13" s="13" t="s">
        <v>60</v>
      </c>
      <c r="C13" s="13" t="s">
        <v>61</v>
      </c>
      <c r="D13" s="13" t="s">
        <v>190</v>
      </c>
      <c r="E13" s="43" t="n">
        <f aca="false">도비!G16</f>
        <v>1320000</v>
      </c>
      <c r="F13" s="13" t="s">
        <v>191</v>
      </c>
    </row>
    <row r="14" customFormat="false" ht="15" hidden="false" customHeight="false" outlineLevel="0" collapsed="false">
      <c r="A14" s="13" t="s">
        <v>141</v>
      </c>
      <c r="B14" s="13" t="s">
        <v>63</v>
      </c>
      <c r="C14" s="13" t="s">
        <v>64</v>
      </c>
      <c r="D14" s="13" t="s">
        <v>192</v>
      </c>
      <c r="E14" s="43" t="n">
        <f aca="false">도비!G17</f>
        <v>500000</v>
      </c>
      <c r="F14" s="13" t="s">
        <v>193</v>
      </c>
    </row>
    <row r="15" customFormat="false" ht="15" hidden="false" customHeight="false" outlineLevel="0" collapsed="false">
      <c r="A15" s="13" t="s">
        <v>141</v>
      </c>
      <c r="B15" s="13" t="s">
        <v>66</v>
      </c>
      <c r="C15" s="13" t="s">
        <v>67</v>
      </c>
      <c r="D15" s="13" t="s">
        <v>194</v>
      </c>
      <c r="E15" s="43" t="n">
        <f aca="false">도비!G18</f>
        <v>520000</v>
      </c>
      <c r="F15" s="13" t="s">
        <v>195</v>
      </c>
    </row>
    <row r="16" customFormat="false" ht="15" hidden="false" customHeight="false" outlineLevel="0" collapsed="false">
      <c r="A16" s="13" t="s">
        <v>141</v>
      </c>
      <c r="B16" s="13" t="s">
        <v>69</v>
      </c>
      <c r="C16" s="13"/>
      <c r="D16" s="13" t="s">
        <v>187</v>
      </c>
      <c r="E16" s="43" t="n">
        <f aca="false">도비!G19</f>
        <v>380000</v>
      </c>
      <c r="F16" s="13" t="s">
        <v>196</v>
      </c>
    </row>
    <row r="17" customFormat="false" ht="15" hidden="false" customHeight="false" outlineLevel="0" collapsed="false">
      <c r="A17" s="13" t="s">
        <v>141</v>
      </c>
      <c r="B17" s="13" t="s">
        <v>70</v>
      </c>
      <c r="C17" s="13" t="s">
        <v>71</v>
      </c>
      <c r="D17" s="13" t="s">
        <v>197</v>
      </c>
      <c r="E17" s="43" t="n">
        <f aca="false">도비!G20</f>
        <v>600000</v>
      </c>
      <c r="F17" s="13" t="s">
        <v>198</v>
      </c>
    </row>
    <row r="18" customFormat="false" ht="23.85" hidden="false" customHeight="false" outlineLevel="0" collapsed="false">
      <c r="A18" s="20"/>
      <c r="B18" s="44" t="s">
        <v>72</v>
      </c>
      <c r="C18" s="20"/>
      <c r="D18" s="20"/>
      <c r="E18" s="45" t="n">
        <f aca="false">도비!$G$31-SUM(도비!$G$21:$G$23)</f>
        <v>6636000</v>
      </c>
      <c r="F18" s="20" t="s">
        <v>199</v>
      </c>
    </row>
    <row r="19" customFormat="false" ht="15" hidden="false" customHeight="false" outlineLevel="0" collapsed="false">
      <c r="A19" s="20"/>
      <c r="B19" s="44" t="s">
        <v>119</v>
      </c>
      <c r="C19" s="20"/>
      <c r="D19" s="20"/>
      <c r="E19" s="45" t="n">
        <f aca="false">도비!$G$31</f>
        <v>35216000</v>
      </c>
      <c r="F19" s="20" t="s">
        <v>200</v>
      </c>
    </row>
    <row r="21" customFormat="false" ht="15" hidden="false" customHeight="false" outlineLevel="0" collapsed="false">
      <c r="A21" s="13" t="s">
        <v>142</v>
      </c>
      <c r="B21" s="13" t="s">
        <v>79</v>
      </c>
      <c r="C21" s="13" t="s">
        <v>80</v>
      </c>
      <c r="D21" s="13" t="s">
        <v>201</v>
      </c>
      <c r="E21" s="43" t="n">
        <f aca="false">용접!G8</f>
        <v>4500000</v>
      </c>
      <c r="F21" s="13" t="s">
        <v>193</v>
      </c>
    </row>
    <row r="22" customFormat="false" ht="15" hidden="false" customHeight="false" outlineLevel="0" collapsed="false">
      <c r="A22" s="13" t="s">
        <v>142</v>
      </c>
      <c r="B22" s="13" t="s">
        <v>82</v>
      </c>
      <c r="C22" s="13" t="s">
        <v>83</v>
      </c>
      <c r="D22" s="13" t="s">
        <v>202</v>
      </c>
      <c r="E22" s="43" t="n">
        <f aca="false">용접!G9</f>
        <v>2100000</v>
      </c>
      <c r="F22" s="13" t="s">
        <v>193</v>
      </c>
    </row>
    <row r="23" customFormat="false" ht="15" hidden="false" customHeight="false" outlineLevel="0" collapsed="false">
      <c r="A23" s="13" t="s">
        <v>142</v>
      </c>
      <c r="B23" s="13" t="s">
        <v>85</v>
      </c>
      <c r="C23" s="13" t="s">
        <v>86</v>
      </c>
      <c r="D23" s="13" t="s">
        <v>203</v>
      </c>
      <c r="E23" s="43" t="n">
        <f aca="false">용접!G10</f>
        <v>1200000</v>
      </c>
      <c r="F23" s="13" t="s">
        <v>193</v>
      </c>
    </row>
    <row r="24" customFormat="false" ht="15" hidden="false" customHeight="false" outlineLevel="0" collapsed="false">
      <c r="A24" s="13" t="s">
        <v>142</v>
      </c>
      <c r="B24" s="13" t="s">
        <v>88</v>
      </c>
      <c r="C24" s="13" t="s">
        <v>89</v>
      </c>
      <c r="D24" s="13" t="s">
        <v>204</v>
      </c>
      <c r="E24" s="43" t="n">
        <f aca="false">용접!G11</f>
        <v>800000</v>
      </c>
      <c r="F24" s="13" t="s">
        <v>193</v>
      </c>
    </row>
    <row r="25" customFormat="false" ht="23.85" hidden="false" customHeight="false" outlineLevel="0" collapsed="false">
      <c r="A25" s="13" t="s">
        <v>142</v>
      </c>
      <c r="B25" s="13" t="s">
        <v>90</v>
      </c>
      <c r="C25" s="13" t="s">
        <v>91</v>
      </c>
      <c r="D25" s="13" t="s">
        <v>205</v>
      </c>
      <c r="E25" s="43" t="n">
        <f aca="false">용접!G12</f>
        <v>1250000</v>
      </c>
      <c r="F25" s="13" t="s">
        <v>206</v>
      </c>
    </row>
    <row r="26" customFormat="false" ht="15" hidden="false" customHeight="false" outlineLevel="0" collapsed="false">
      <c r="A26" s="13" t="s">
        <v>142</v>
      </c>
      <c r="B26" s="13" t="s">
        <v>93</v>
      </c>
      <c r="C26" s="13" t="s">
        <v>94</v>
      </c>
      <c r="D26" s="13" t="s">
        <v>207</v>
      </c>
      <c r="E26" s="43" t="n">
        <f aca="false">용접!G13</f>
        <v>3600000</v>
      </c>
      <c r="F26" s="13" t="s">
        <v>185</v>
      </c>
    </row>
    <row r="27" customFormat="false" ht="15" hidden="false" customHeight="false" outlineLevel="0" collapsed="false">
      <c r="A27" s="13" t="s">
        <v>142</v>
      </c>
      <c r="B27" s="13" t="s">
        <v>96</v>
      </c>
      <c r="C27" s="13" t="s">
        <v>97</v>
      </c>
      <c r="D27" s="13" t="s">
        <v>187</v>
      </c>
      <c r="E27" s="43" t="n">
        <f aca="false">용접!G14</f>
        <v>800000</v>
      </c>
      <c r="F27" s="13" t="s">
        <v>185</v>
      </c>
    </row>
    <row r="28" customFormat="false" ht="15" hidden="false" customHeight="false" outlineLevel="0" collapsed="false">
      <c r="A28" s="13" t="s">
        <v>142</v>
      </c>
      <c r="B28" s="13" t="s">
        <v>98</v>
      </c>
      <c r="C28" s="13" t="s">
        <v>99</v>
      </c>
      <c r="D28" s="13" t="s">
        <v>208</v>
      </c>
      <c r="E28" s="43" t="n">
        <f aca="false">용접!G15</f>
        <v>3680000</v>
      </c>
      <c r="F28" s="13" t="s">
        <v>189</v>
      </c>
    </row>
    <row r="29" customFormat="false" ht="15" hidden="false" customHeight="false" outlineLevel="0" collapsed="false">
      <c r="A29" s="13" t="s">
        <v>142</v>
      </c>
      <c r="B29" s="13" t="s">
        <v>100</v>
      </c>
      <c r="C29" s="13"/>
      <c r="D29" s="13" t="s">
        <v>187</v>
      </c>
      <c r="E29" s="43" t="n">
        <f aca="false">용접!G16</f>
        <v>1000000</v>
      </c>
      <c r="F29" s="13" t="s">
        <v>185</v>
      </c>
    </row>
    <row r="30" customFormat="false" ht="15" hidden="false" customHeight="false" outlineLevel="0" collapsed="false">
      <c r="A30" s="13" t="s">
        <v>142</v>
      </c>
      <c r="B30" s="13" t="s">
        <v>101</v>
      </c>
      <c r="C30" s="13" t="s">
        <v>102</v>
      </c>
      <c r="D30" s="13" t="s">
        <v>209</v>
      </c>
      <c r="E30" s="43" t="n">
        <f aca="false">용접!G17</f>
        <v>2400000</v>
      </c>
      <c r="F30" s="13" t="s">
        <v>185</v>
      </c>
    </row>
    <row r="31" customFormat="false" ht="15" hidden="false" customHeight="false" outlineLevel="0" collapsed="false">
      <c r="A31" s="13" t="s">
        <v>142</v>
      </c>
      <c r="B31" s="13" t="s">
        <v>70</v>
      </c>
      <c r="C31" s="13" t="s">
        <v>104</v>
      </c>
      <c r="D31" s="13" t="s">
        <v>210</v>
      </c>
      <c r="E31" s="43" t="n">
        <f aca="false">용접!G18</f>
        <v>1400000</v>
      </c>
      <c r="F31" s="13" t="s">
        <v>211</v>
      </c>
    </row>
    <row r="32" customFormat="false" ht="23.85" hidden="false" customHeight="false" outlineLevel="0" collapsed="false">
      <c r="A32" s="20"/>
      <c r="B32" s="44" t="s">
        <v>72</v>
      </c>
      <c r="C32" s="20"/>
      <c r="D32" s="20"/>
      <c r="E32" s="45" t="n">
        <f aca="false">용접!$G$29-SUM(용접!$G$19:$G$21)</f>
        <v>5232000</v>
      </c>
      <c r="F32" s="20" t="s">
        <v>199</v>
      </c>
    </row>
    <row r="33" customFormat="false" ht="15" hidden="false" customHeight="false" outlineLevel="0" collapsed="false">
      <c r="A33" s="20"/>
      <c r="B33" s="44" t="s">
        <v>119</v>
      </c>
      <c r="C33" s="20"/>
      <c r="D33" s="20"/>
      <c r="E33" s="45" t="n">
        <f aca="false">용접!$G$29</f>
        <v>27962000</v>
      </c>
      <c r="F33" s="20" t="s">
        <v>200</v>
      </c>
    </row>
    <row r="35" customFormat="false" ht="23.85" hidden="false" customHeight="false" outlineLevel="0" collapsed="false">
      <c r="A35" s="13" t="s">
        <v>143</v>
      </c>
      <c r="B35" s="13" t="s">
        <v>109</v>
      </c>
      <c r="C35" s="13" t="s">
        <v>110</v>
      </c>
      <c r="D35" s="13" t="s">
        <v>212</v>
      </c>
      <c r="E35" s="43" t="n">
        <f aca="false">베이스!G8</f>
        <v>1800000</v>
      </c>
      <c r="F35" s="13" t="s">
        <v>213</v>
      </c>
    </row>
    <row r="36" customFormat="false" ht="15" hidden="false" customHeight="false" outlineLevel="0" collapsed="false">
      <c r="A36" s="13" t="s">
        <v>143</v>
      </c>
      <c r="B36" s="13" t="s">
        <v>112</v>
      </c>
      <c r="C36" s="13" t="s">
        <v>113</v>
      </c>
      <c r="D36" s="13" t="s">
        <v>187</v>
      </c>
      <c r="E36" s="43" t="n">
        <f aca="false">베이스!G9</f>
        <v>160000</v>
      </c>
      <c r="F36" s="13" t="s">
        <v>214</v>
      </c>
    </row>
    <row r="37" customFormat="false" ht="15" hidden="false" customHeight="false" outlineLevel="0" collapsed="false">
      <c r="A37" s="13" t="s">
        <v>143</v>
      </c>
      <c r="B37" s="13" t="s">
        <v>114</v>
      </c>
      <c r="C37" s="13" t="s">
        <v>115</v>
      </c>
      <c r="D37" s="13" t="s">
        <v>215</v>
      </c>
      <c r="E37" s="43" t="n">
        <f aca="false">베이스!G10</f>
        <v>1050000</v>
      </c>
      <c r="F37" s="13" t="s">
        <v>193</v>
      </c>
    </row>
    <row r="38" customFormat="false" ht="15" hidden="false" customHeight="false" outlineLevel="0" collapsed="false">
      <c r="A38" s="20"/>
      <c r="B38" s="44" t="s">
        <v>119</v>
      </c>
      <c r="C38" s="20"/>
      <c r="D38" s="20"/>
      <c r="E38" s="45" t="n">
        <f aca="false">베이스!$G$21</f>
        <v>3010000</v>
      </c>
      <c r="F38" s="20" t="s">
        <v>200</v>
      </c>
    </row>
  </sheetData>
  <printOptions headings="false" gridLines="false" gridLinesSet="true" horizontalCentered="false" verticalCentered="false"/>
  <pageMargins left="0.629861111111111" right="0.629861111111111" top="0.709722222222222" bottom="0.709722222222222" header="0.511811023622047" footer="0.3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&amp;L&amp;"Pretendard,Regular"&amp;8 엔엠솔루션  |  경기도 평택시 고덕동 도시지원로 121 지식공장아이타워 906호  |  대표전화 1800-5901  |  직통 010-2369-3691  |  nm-solution.co.kr&amp;R&amp;"Pretendard,Regular"&amp;8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38"/>
    <col collapsed="false" customWidth="true" hidden="false" outlineLevel="0" max="9" min="9" style="0" width="7"/>
  </cols>
  <sheetData>
    <row r="1" customFormat="false" ht="15" hidden="false" customHeight="true" outlineLevel="0" collapsed="false">
      <c r="A1" s="28" t="s">
        <v>216</v>
      </c>
      <c r="B1" s="28"/>
      <c r="C1" s="28"/>
      <c r="D1" s="28"/>
      <c r="E1" s="28"/>
      <c r="F1" s="28"/>
      <c r="G1" s="28"/>
      <c r="H1" s="28"/>
      <c r="I1" s="28"/>
    </row>
    <row r="2" customFormat="false" ht="15" hidden="false" customHeight="false" outlineLevel="0" collapsed="false">
      <c r="A2" s="28"/>
      <c r="B2" s="28"/>
      <c r="C2" s="28"/>
      <c r="D2" s="28"/>
      <c r="E2" s="28"/>
      <c r="F2" s="28"/>
      <c r="G2" s="28"/>
      <c r="H2" s="28"/>
      <c r="I2" s="28"/>
    </row>
    <row r="3" customFormat="false" ht="15" hidden="false" customHeight="true" outlineLevel="0" collapsed="false">
      <c r="A3" s="29" t="s">
        <v>217</v>
      </c>
      <c r="B3" s="29"/>
      <c r="C3" s="29"/>
      <c r="D3" s="29"/>
      <c r="E3" s="29"/>
      <c r="F3" s="29"/>
      <c r="G3" s="29"/>
      <c r="H3" s="29"/>
      <c r="I3" s="29"/>
    </row>
    <row r="5" customFormat="false" ht="15" hidden="false" customHeight="true" outlineLevel="0" collapsed="false">
      <c r="A5" s="46" t="s">
        <v>218</v>
      </c>
      <c r="B5" s="46"/>
      <c r="C5" s="46"/>
      <c r="D5" s="46"/>
      <c r="E5" s="46"/>
      <c r="F5" s="46"/>
      <c r="G5" s="46"/>
      <c r="H5" s="46"/>
      <c r="I5" s="46"/>
    </row>
    <row r="7" customFormat="false" ht="15" hidden="false" customHeight="false" outlineLevel="0" collapsed="false">
      <c r="A7" s="10" t="s">
        <v>219</v>
      </c>
      <c r="B7" s="10" t="s">
        <v>30</v>
      </c>
      <c r="C7" s="10" t="s">
        <v>31</v>
      </c>
      <c r="D7" s="10" t="s">
        <v>33</v>
      </c>
      <c r="E7" s="10" t="s">
        <v>32</v>
      </c>
      <c r="F7" s="10" t="s">
        <v>34</v>
      </c>
      <c r="G7" s="10" t="s">
        <v>35</v>
      </c>
      <c r="H7" s="10" t="s">
        <v>36</v>
      </c>
      <c r="I7" s="10" t="s">
        <v>140</v>
      </c>
    </row>
    <row r="8" customFormat="false" ht="19.5" hidden="false" customHeight="true" outlineLevel="0" collapsed="false">
      <c r="A8" s="11" t="s">
        <v>147</v>
      </c>
      <c r="B8" s="11" t="s">
        <v>38</v>
      </c>
      <c r="C8" s="13" t="s">
        <v>39</v>
      </c>
      <c r="D8" s="11" t="s">
        <v>220</v>
      </c>
      <c r="E8" s="14" t="n">
        <v>21</v>
      </c>
      <c r="F8" s="14" t="n">
        <v>300000</v>
      </c>
      <c r="G8" s="14" t="n">
        <f aca="false">E8*F8</f>
        <v>6300000</v>
      </c>
      <c r="H8" s="13" t="s">
        <v>40</v>
      </c>
      <c r="I8" s="11" t="s">
        <v>147</v>
      </c>
    </row>
    <row r="9" customFormat="false" ht="19.5" hidden="false" customHeight="true" outlineLevel="0" collapsed="false">
      <c r="A9" s="11"/>
      <c r="B9" s="11" t="s">
        <v>41</v>
      </c>
      <c r="C9" s="13" t="s">
        <v>42</v>
      </c>
      <c r="D9" s="11" t="s">
        <v>220</v>
      </c>
      <c r="E9" s="14" t="n">
        <v>4</v>
      </c>
      <c r="F9" s="14" t="n">
        <v>260000</v>
      </c>
      <c r="G9" s="14" t="n">
        <f aca="false">E9*F9</f>
        <v>1040000</v>
      </c>
      <c r="H9" s="13" t="s">
        <v>43</v>
      </c>
      <c r="I9" s="11" t="s">
        <v>147</v>
      </c>
    </row>
    <row r="10" customFormat="false" ht="19.5" hidden="false" customHeight="true" outlineLevel="0" collapsed="false">
      <c r="A10" s="11"/>
      <c r="B10" s="11" t="s">
        <v>44</v>
      </c>
      <c r="C10" s="13" t="s">
        <v>45</v>
      </c>
      <c r="D10" s="11" t="s">
        <v>220</v>
      </c>
      <c r="E10" s="14" t="n">
        <v>4</v>
      </c>
      <c r="F10" s="14" t="n">
        <v>320000</v>
      </c>
      <c r="G10" s="14" t="n">
        <f aca="false">E10*F10</f>
        <v>1280000</v>
      </c>
      <c r="H10" s="13" t="s">
        <v>46</v>
      </c>
      <c r="I10" s="11" t="s">
        <v>147</v>
      </c>
    </row>
    <row r="11" customFormat="false" ht="19.5" hidden="false" customHeight="true" outlineLevel="0" collapsed="false">
      <c r="A11" s="11" t="s">
        <v>221</v>
      </c>
      <c r="B11" s="11" t="s">
        <v>47</v>
      </c>
      <c r="C11" s="13" t="s">
        <v>48</v>
      </c>
      <c r="D11" s="11" t="s">
        <v>222</v>
      </c>
      <c r="E11" s="14" t="n">
        <v>2</v>
      </c>
      <c r="F11" s="14" t="n">
        <v>5000000</v>
      </c>
      <c r="G11" s="14" t="n">
        <f aca="false">E11*F11</f>
        <v>10000000</v>
      </c>
      <c r="H11" s="13" t="s">
        <v>49</v>
      </c>
      <c r="I11" s="11" t="s">
        <v>70</v>
      </c>
    </row>
    <row r="12" customFormat="false" ht="19.5" hidden="false" customHeight="true" outlineLevel="0" collapsed="false">
      <c r="A12" s="11"/>
      <c r="B12" s="11" t="s">
        <v>50</v>
      </c>
      <c r="C12" s="13" t="s">
        <v>51</v>
      </c>
      <c r="D12" s="11" t="s">
        <v>74</v>
      </c>
      <c r="E12" s="14" t="n">
        <v>1</v>
      </c>
      <c r="F12" s="14" t="n">
        <v>640000</v>
      </c>
      <c r="G12" s="14" t="n">
        <f aca="false">E12*F12</f>
        <v>640000</v>
      </c>
      <c r="H12" s="13" t="s">
        <v>52</v>
      </c>
      <c r="I12" s="11" t="s">
        <v>70</v>
      </c>
    </row>
    <row r="13" customFormat="false" ht="19.5" hidden="false" customHeight="true" outlineLevel="0" collapsed="false">
      <c r="A13" s="11"/>
      <c r="B13" s="11" t="s">
        <v>53</v>
      </c>
      <c r="C13" s="13" t="s">
        <v>54</v>
      </c>
      <c r="D13" s="11" t="s">
        <v>223</v>
      </c>
      <c r="E13" s="14" t="n">
        <v>1</v>
      </c>
      <c r="F13" s="14" t="n">
        <v>2000000</v>
      </c>
      <c r="G13" s="14" t="n">
        <f aca="false">E13*F13</f>
        <v>2000000</v>
      </c>
      <c r="H13" s="13" t="s">
        <v>55</v>
      </c>
      <c r="I13" s="11" t="s">
        <v>70</v>
      </c>
    </row>
    <row r="14" customFormat="false" ht="19.5" hidden="false" customHeight="true" outlineLevel="0" collapsed="false">
      <c r="A14" s="11"/>
      <c r="B14" s="11" t="s">
        <v>56</v>
      </c>
      <c r="C14" s="13" t="s">
        <v>57</v>
      </c>
      <c r="D14" s="11" t="s">
        <v>223</v>
      </c>
      <c r="E14" s="14" t="n">
        <v>1</v>
      </c>
      <c r="F14" s="14" t="n">
        <v>3000000</v>
      </c>
      <c r="G14" s="14" t="n">
        <f aca="false">E14*F14</f>
        <v>3000000</v>
      </c>
      <c r="H14" s="13"/>
      <c r="I14" s="11" t="s">
        <v>70</v>
      </c>
    </row>
    <row r="15" customFormat="false" ht="19.5" hidden="false" customHeight="true" outlineLevel="0" collapsed="false">
      <c r="A15" s="11" t="s">
        <v>146</v>
      </c>
      <c r="B15" s="11" t="s">
        <v>58</v>
      </c>
      <c r="C15" s="13" t="s">
        <v>59</v>
      </c>
      <c r="D15" s="11" t="s">
        <v>74</v>
      </c>
      <c r="E15" s="14" t="n">
        <v>1</v>
      </c>
      <c r="F15" s="14" t="n">
        <v>1000000</v>
      </c>
      <c r="G15" s="14" t="n">
        <f aca="false">E15*F15</f>
        <v>1000000</v>
      </c>
      <c r="H15" s="13"/>
      <c r="I15" s="11" t="s">
        <v>146</v>
      </c>
    </row>
    <row r="16" customFormat="false" ht="19.5" hidden="false" customHeight="true" outlineLevel="0" collapsed="false">
      <c r="A16" s="11" t="s">
        <v>224</v>
      </c>
      <c r="B16" s="11" t="s">
        <v>60</v>
      </c>
      <c r="C16" s="13" t="s">
        <v>61</v>
      </c>
      <c r="D16" s="11" t="s">
        <v>225</v>
      </c>
      <c r="E16" s="14" t="n">
        <v>264</v>
      </c>
      <c r="F16" s="14" t="n">
        <v>5000</v>
      </c>
      <c r="G16" s="14" t="n">
        <f aca="false">E16*F16</f>
        <v>1320000</v>
      </c>
      <c r="H16" s="13" t="s">
        <v>62</v>
      </c>
      <c r="I16" s="11" t="s">
        <v>70</v>
      </c>
    </row>
    <row r="17" customFormat="false" ht="19.5" hidden="false" customHeight="true" outlineLevel="0" collapsed="false">
      <c r="A17" s="11"/>
      <c r="B17" s="11" t="s">
        <v>63</v>
      </c>
      <c r="C17" s="13" t="s">
        <v>64</v>
      </c>
      <c r="D17" s="11" t="s">
        <v>220</v>
      </c>
      <c r="E17" s="14" t="n">
        <v>2</v>
      </c>
      <c r="F17" s="14" t="n">
        <v>250000</v>
      </c>
      <c r="G17" s="14" t="n">
        <f aca="false">E17*F17</f>
        <v>500000</v>
      </c>
      <c r="H17" s="13" t="s">
        <v>65</v>
      </c>
      <c r="I17" s="11" t="s">
        <v>147</v>
      </c>
    </row>
    <row r="18" customFormat="false" ht="19.5" hidden="false" customHeight="true" outlineLevel="0" collapsed="false">
      <c r="A18" s="11"/>
      <c r="B18" s="11" t="s">
        <v>66</v>
      </c>
      <c r="C18" s="13" t="s">
        <v>67</v>
      </c>
      <c r="D18" s="11" t="s">
        <v>226</v>
      </c>
      <c r="E18" s="14" t="n">
        <v>2</v>
      </c>
      <c r="F18" s="14" t="n">
        <v>260000</v>
      </c>
      <c r="G18" s="14" t="n">
        <f aca="false">E18*F18</f>
        <v>520000</v>
      </c>
      <c r="H18" s="13" t="s">
        <v>68</v>
      </c>
      <c r="I18" s="11" t="s">
        <v>70</v>
      </c>
    </row>
    <row r="19" customFormat="false" ht="19.5" hidden="false" customHeight="true" outlineLevel="0" collapsed="false">
      <c r="A19" s="11"/>
      <c r="B19" s="11" t="s">
        <v>69</v>
      </c>
      <c r="C19" s="13"/>
      <c r="D19" s="11" t="s">
        <v>74</v>
      </c>
      <c r="E19" s="14" t="n">
        <v>1</v>
      </c>
      <c r="F19" s="14" t="n">
        <v>380000</v>
      </c>
      <c r="G19" s="14" t="n">
        <f aca="false">E19*F19</f>
        <v>380000</v>
      </c>
      <c r="H19" s="13"/>
      <c r="I19" s="11" t="s">
        <v>146</v>
      </c>
    </row>
    <row r="20" customFormat="false" ht="19.5" hidden="false" customHeight="true" outlineLevel="0" collapsed="false">
      <c r="A20" s="11" t="s">
        <v>70</v>
      </c>
      <c r="B20" s="11" t="s">
        <v>70</v>
      </c>
      <c r="C20" s="13" t="s">
        <v>71</v>
      </c>
      <c r="D20" s="11" t="s">
        <v>74</v>
      </c>
      <c r="E20" s="14" t="n">
        <v>1</v>
      </c>
      <c r="F20" s="14" t="n">
        <v>600000</v>
      </c>
      <c r="G20" s="14" t="n">
        <f aca="false">E20*F20</f>
        <v>600000</v>
      </c>
      <c r="H20" s="13"/>
      <c r="I20" s="11" t="s">
        <v>70</v>
      </c>
    </row>
    <row r="21" customFormat="false" ht="19.5" hidden="false" customHeight="true" outlineLevel="0" collapsed="false">
      <c r="A21" s="47" t="s">
        <v>227</v>
      </c>
      <c r="B21" s="47"/>
      <c r="C21" s="47"/>
      <c r="D21" s="47"/>
      <c r="E21" s="47"/>
      <c r="F21" s="47"/>
      <c r="G21" s="48" t="n">
        <f aca="false">SUMIF($I$8:$I$20,"재료비",$G$8:$G$20)</f>
        <v>1380000</v>
      </c>
      <c r="H21" s="20"/>
      <c r="I21" s="20"/>
    </row>
    <row r="22" customFormat="false" ht="19.5" hidden="false" customHeight="true" outlineLevel="0" collapsed="false">
      <c r="A22" s="47" t="s">
        <v>228</v>
      </c>
      <c r="B22" s="47"/>
      <c r="C22" s="47"/>
      <c r="D22" s="47"/>
      <c r="E22" s="47"/>
      <c r="F22" s="47"/>
      <c r="G22" s="48" t="n">
        <f aca="false">SUMIF($I$8:$I$20,"노무비",$G$8:$G$20)</f>
        <v>9120000</v>
      </c>
      <c r="H22" s="20"/>
      <c r="I22" s="20"/>
    </row>
    <row r="23" customFormat="false" ht="19.5" hidden="false" customHeight="true" outlineLevel="0" collapsed="false">
      <c r="A23" s="47" t="s">
        <v>229</v>
      </c>
      <c r="B23" s="47"/>
      <c r="C23" s="47"/>
      <c r="D23" s="47"/>
      <c r="E23" s="47"/>
      <c r="F23" s="47"/>
      <c r="G23" s="48" t="n">
        <f aca="false">SUMIF($I$8:$I$20,"경비",$G$8:$G$20)</f>
        <v>18080000</v>
      </c>
      <c r="H23" s="20"/>
      <c r="I23" s="20"/>
    </row>
    <row r="24" customFormat="false" ht="19.5" hidden="false" customHeight="true" outlineLevel="0" collapsed="false">
      <c r="A24" s="47" t="s">
        <v>148</v>
      </c>
      <c r="B24" s="47"/>
      <c r="C24" s="47"/>
      <c r="D24" s="47"/>
      <c r="E24" s="47"/>
      <c r="F24" s="47"/>
      <c r="G24" s="48" t="n">
        <f aca="false">G22*원가계산서!$D$26</f>
        <v>324672</v>
      </c>
      <c r="H24" s="20" t="s">
        <v>230</v>
      </c>
      <c r="I24" s="20"/>
    </row>
    <row r="25" customFormat="false" ht="19.5" hidden="false" customHeight="true" outlineLevel="0" collapsed="false">
      <c r="A25" s="47" t="s">
        <v>149</v>
      </c>
      <c r="B25" s="47"/>
      <c r="C25" s="47"/>
      <c r="D25" s="47"/>
      <c r="E25" s="47"/>
      <c r="F25" s="47"/>
      <c r="G25" s="48" t="n">
        <f aca="false">G22*원가계산서!$D$27</f>
        <v>104880</v>
      </c>
      <c r="H25" s="20" t="s">
        <v>231</v>
      </c>
      <c r="I25" s="20"/>
    </row>
    <row r="26" customFormat="false" ht="19.5" hidden="false" customHeight="true" outlineLevel="0" collapsed="false">
      <c r="A26" s="47" t="s">
        <v>150</v>
      </c>
      <c r="B26" s="47"/>
      <c r="C26" s="47"/>
      <c r="D26" s="47"/>
      <c r="E26" s="47"/>
      <c r="F26" s="47"/>
      <c r="G26" s="48" t="n">
        <f aca="false">(G21+G22)*원가계산서!$D$28</f>
        <v>326550</v>
      </c>
      <c r="H26" s="20" t="s">
        <v>232</v>
      </c>
      <c r="I26" s="20"/>
    </row>
    <row r="27" customFormat="false" ht="19.5" hidden="false" customHeight="true" outlineLevel="0" collapsed="false">
      <c r="A27" s="18" t="s">
        <v>151</v>
      </c>
      <c r="B27" s="18"/>
      <c r="C27" s="18"/>
      <c r="D27" s="18"/>
      <c r="E27" s="18"/>
      <c r="F27" s="18"/>
      <c r="G27" s="19" t="n">
        <f aca="false">SUM(G21:G26)</f>
        <v>29336102</v>
      </c>
      <c r="H27" s="20"/>
      <c r="I27" s="20"/>
    </row>
    <row r="28" customFormat="false" ht="19.5" hidden="false" customHeight="true" outlineLevel="0" collapsed="false">
      <c r="A28" s="47" t="s">
        <v>152</v>
      </c>
      <c r="B28" s="47"/>
      <c r="C28" s="47"/>
      <c r="D28" s="47"/>
      <c r="E28" s="47"/>
      <c r="F28" s="47"/>
      <c r="G28" s="48" t="n">
        <f aca="false">G27*원가계산서!$D$29</f>
        <v>1466805.1</v>
      </c>
      <c r="H28" s="20" t="s">
        <v>233</v>
      </c>
      <c r="I28" s="20"/>
    </row>
    <row r="29" customFormat="false" ht="19.5" hidden="false" customHeight="true" outlineLevel="0" collapsed="false">
      <c r="A29" s="47" t="s">
        <v>153</v>
      </c>
      <c r="B29" s="47"/>
      <c r="C29" s="47"/>
      <c r="D29" s="47"/>
      <c r="E29" s="47"/>
      <c r="F29" s="47"/>
      <c r="G29" s="48" t="n">
        <f aca="false">(G22+G23+G24+G25+G26+G28)*원가계산서!$D$30</f>
        <v>4413436.065</v>
      </c>
      <c r="H29" s="20" t="s">
        <v>234</v>
      </c>
      <c r="I29" s="20"/>
    </row>
    <row r="30" customFormat="false" ht="19.5" hidden="false" customHeight="true" outlineLevel="0" collapsed="false">
      <c r="A30" s="47" t="s">
        <v>154</v>
      </c>
      <c r="B30" s="47"/>
      <c r="C30" s="47"/>
      <c r="D30" s="47"/>
      <c r="E30" s="47"/>
      <c r="F30" s="47"/>
      <c r="G30" s="48" t="n">
        <f aca="false">-MOD(G27+G28+G29,1000)</f>
        <v>-343.164999999106</v>
      </c>
      <c r="H30" s="20" t="s">
        <v>235</v>
      </c>
      <c r="I30" s="20"/>
    </row>
    <row r="31" customFormat="false" ht="19.5" hidden="false" customHeight="true" outlineLevel="0" collapsed="false">
      <c r="A31" s="49" t="s">
        <v>119</v>
      </c>
      <c r="B31" s="49"/>
      <c r="C31" s="49"/>
      <c r="D31" s="49"/>
      <c r="E31" s="49"/>
      <c r="F31" s="49"/>
      <c r="G31" s="50" t="n">
        <f aca="false">G27+G28+G29+G30</f>
        <v>35216000</v>
      </c>
      <c r="H31" s="51" t="s">
        <v>200</v>
      </c>
      <c r="I31" s="51"/>
    </row>
    <row r="33" customFormat="false" ht="11.9" hidden="false" customHeight="false" outlineLevel="0" collapsed="false">
      <c r="A33" s="52" t="s">
        <v>236</v>
      </c>
      <c r="B33" s="52"/>
      <c r="C33" s="52"/>
      <c r="D33" s="52"/>
      <c r="E33" s="52"/>
      <c r="F33" s="52"/>
      <c r="G33" s="52"/>
      <c r="H33" s="52"/>
      <c r="I33" s="52"/>
    </row>
    <row r="34" customFormat="false" ht="11.9" hidden="false" customHeight="false" outlineLevel="0" collapsed="false">
      <c r="A34" s="52" t="s">
        <v>237</v>
      </c>
      <c r="B34" s="52"/>
      <c r="C34" s="52"/>
      <c r="D34" s="52"/>
      <c r="E34" s="52"/>
      <c r="F34" s="52"/>
      <c r="G34" s="52"/>
      <c r="H34" s="52"/>
      <c r="I34" s="52"/>
    </row>
  </sheetData>
  <mergeCells count="30">
    <mergeCell ref="A1:I2"/>
    <mergeCell ref="A3:I3"/>
    <mergeCell ref="A5:I5"/>
    <mergeCell ref="A8:A10"/>
    <mergeCell ref="A11:A14"/>
    <mergeCell ref="A16:A19"/>
    <mergeCell ref="A21:F21"/>
    <mergeCell ref="H21:I21"/>
    <mergeCell ref="A22:F22"/>
    <mergeCell ref="H22:I22"/>
    <mergeCell ref="A23:F23"/>
    <mergeCell ref="H23:I23"/>
    <mergeCell ref="A24:F24"/>
    <mergeCell ref="H24:I24"/>
    <mergeCell ref="A25:F25"/>
    <mergeCell ref="H25:I25"/>
    <mergeCell ref="A26:F26"/>
    <mergeCell ref="H26:I26"/>
    <mergeCell ref="A27:F27"/>
    <mergeCell ref="H27:I27"/>
    <mergeCell ref="A28:F28"/>
    <mergeCell ref="H28:I28"/>
    <mergeCell ref="A29:F29"/>
    <mergeCell ref="H29:I29"/>
    <mergeCell ref="A30:F30"/>
    <mergeCell ref="H30:I30"/>
    <mergeCell ref="A31:F31"/>
    <mergeCell ref="H31:I31"/>
    <mergeCell ref="A33:I33"/>
    <mergeCell ref="A34:I34"/>
  </mergeCells>
  <printOptions headings="false" gridLines="false" gridLinesSet="true" horizontalCentered="false" verticalCentered="false"/>
  <pageMargins left="0.629861111111111" right="0.629861111111111" top="0.709722222222222" bottom="0.709722222222222" header="0.511811023622047" footer="0.3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&amp;L&amp;"Pretendard,Regular"&amp;8 엔엠솔루션  |  경기도 평택시 고덕동 도시지원로 121 지식공장아이타워 906호  |  대표전화 1800-5901  |  직통 010-2369-3691  |  nm-solution.co.kr&amp;R&amp;"Pretendard,Regular"&amp;8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38"/>
    <col collapsed="false" customWidth="true" hidden="false" outlineLevel="0" max="9" min="9" style="0" width="7"/>
  </cols>
  <sheetData>
    <row r="1" customFormat="false" ht="15" hidden="false" customHeight="true" outlineLevel="0" collapsed="false">
      <c r="A1" s="28" t="s">
        <v>216</v>
      </c>
      <c r="B1" s="28"/>
      <c r="C1" s="28"/>
      <c r="D1" s="28"/>
      <c r="E1" s="28"/>
      <c r="F1" s="28"/>
      <c r="G1" s="28"/>
      <c r="H1" s="28"/>
      <c r="I1" s="28"/>
    </row>
    <row r="2" customFormat="false" ht="15" hidden="false" customHeight="false" outlineLevel="0" collapsed="false">
      <c r="A2" s="28"/>
      <c r="B2" s="28"/>
      <c r="C2" s="28"/>
      <c r="D2" s="28"/>
      <c r="E2" s="28"/>
      <c r="F2" s="28"/>
      <c r="G2" s="28"/>
      <c r="H2" s="28"/>
      <c r="I2" s="28"/>
    </row>
    <row r="3" customFormat="false" ht="15" hidden="false" customHeight="true" outlineLevel="0" collapsed="false">
      <c r="A3" s="29" t="s">
        <v>217</v>
      </c>
      <c r="B3" s="29"/>
      <c r="C3" s="29"/>
      <c r="D3" s="29"/>
      <c r="E3" s="29"/>
      <c r="F3" s="29"/>
      <c r="G3" s="29"/>
      <c r="H3" s="29"/>
      <c r="I3" s="29"/>
    </row>
    <row r="5" customFormat="false" ht="15" hidden="false" customHeight="true" outlineLevel="0" collapsed="false">
      <c r="A5" s="46" t="s">
        <v>238</v>
      </c>
      <c r="B5" s="46"/>
      <c r="C5" s="46"/>
      <c r="D5" s="46"/>
      <c r="E5" s="46"/>
      <c r="F5" s="46"/>
      <c r="G5" s="46"/>
      <c r="H5" s="46"/>
      <c r="I5" s="46"/>
    </row>
    <row r="7" customFormat="false" ht="15" hidden="false" customHeight="false" outlineLevel="0" collapsed="false">
      <c r="A7" s="10" t="s">
        <v>219</v>
      </c>
      <c r="B7" s="10" t="s">
        <v>30</v>
      </c>
      <c r="C7" s="10" t="s">
        <v>31</v>
      </c>
      <c r="D7" s="10" t="s">
        <v>33</v>
      </c>
      <c r="E7" s="10" t="s">
        <v>32</v>
      </c>
      <c r="F7" s="10" t="s">
        <v>34</v>
      </c>
      <c r="G7" s="10" t="s">
        <v>35</v>
      </c>
      <c r="H7" s="10" t="s">
        <v>36</v>
      </c>
      <c r="I7" s="10" t="s">
        <v>140</v>
      </c>
    </row>
    <row r="8" customFormat="false" ht="19.5" hidden="false" customHeight="true" outlineLevel="0" collapsed="false">
      <c r="A8" s="11" t="s">
        <v>147</v>
      </c>
      <c r="B8" s="11" t="s">
        <v>79</v>
      </c>
      <c r="C8" s="13" t="s">
        <v>80</v>
      </c>
      <c r="D8" s="11" t="s">
        <v>220</v>
      </c>
      <c r="E8" s="14" t="n">
        <v>9</v>
      </c>
      <c r="F8" s="14" t="n">
        <v>500000</v>
      </c>
      <c r="G8" s="14" t="n">
        <f aca="false">E8*F8</f>
        <v>4500000</v>
      </c>
      <c r="H8" s="13" t="s">
        <v>81</v>
      </c>
      <c r="I8" s="11" t="s">
        <v>147</v>
      </c>
    </row>
    <row r="9" customFormat="false" ht="19.5" hidden="false" customHeight="true" outlineLevel="0" collapsed="false">
      <c r="A9" s="11"/>
      <c r="B9" s="11" t="s">
        <v>82</v>
      </c>
      <c r="C9" s="13" t="s">
        <v>83</v>
      </c>
      <c r="D9" s="11" t="s">
        <v>220</v>
      </c>
      <c r="E9" s="14" t="n">
        <v>6</v>
      </c>
      <c r="F9" s="14" t="n">
        <v>350000</v>
      </c>
      <c r="G9" s="14" t="n">
        <f aca="false">E9*F9</f>
        <v>2100000</v>
      </c>
      <c r="H9" s="13" t="s">
        <v>84</v>
      </c>
      <c r="I9" s="11" t="s">
        <v>147</v>
      </c>
    </row>
    <row r="10" customFormat="false" ht="19.5" hidden="false" customHeight="true" outlineLevel="0" collapsed="false">
      <c r="A10" s="11"/>
      <c r="B10" s="11" t="s">
        <v>85</v>
      </c>
      <c r="C10" s="13" t="s">
        <v>86</v>
      </c>
      <c r="D10" s="11" t="s">
        <v>220</v>
      </c>
      <c r="E10" s="14" t="n">
        <v>4</v>
      </c>
      <c r="F10" s="14" t="n">
        <v>300000</v>
      </c>
      <c r="G10" s="14" t="n">
        <f aca="false">E10*F10</f>
        <v>1200000</v>
      </c>
      <c r="H10" s="13" t="s">
        <v>87</v>
      </c>
      <c r="I10" s="11" t="s">
        <v>147</v>
      </c>
    </row>
    <row r="11" customFormat="false" ht="19.5" hidden="false" customHeight="true" outlineLevel="0" collapsed="false">
      <c r="A11" s="11"/>
      <c r="B11" s="11" t="s">
        <v>88</v>
      </c>
      <c r="C11" s="13" t="s">
        <v>89</v>
      </c>
      <c r="D11" s="11" t="s">
        <v>220</v>
      </c>
      <c r="E11" s="14" t="n">
        <v>4</v>
      </c>
      <c r="F11" s="14" t="n">
        <v>200000</v>
      </c>
      <c r="G11" s="14" t="n">
        <f aca="false">E11*F11</f>
        <v>800000</v>
      </c>
      <c r="H11" s="13" t="s">
        <v>87</v>
      </c>
      <c r="I11" s="11" t="s">
        <v>147</v>
      </c>
    </row>
    <row r="12" customFormat="false" ht="19.5" hidden="false" customHeight="true" outlineLevel="0" collapsed="false">
      <c r="A12" s="11"/>
      <c r="B12" s="11" t="s">
        <v>90</v>
      </c>
      <c r="C12" s="13" t="s">
        <v>91</v>
      </c>
      <c r="D12" s="11" t="s">
        <v>220</v>
      </c>
      <c r="E12" s="14" t="n">
        <v>5</v>
      </c>
      <c r="F12" s="14" t="n">
        <v>250000</v>
      </c>
      <c r="G12" s="14" t="n">
        <f aca="false">E12*F12</f>
        <v>1250000</v>
      </c>
      <c r="H12" s="13" t="s">
        <v>92</v>
      </c>
      <c r="I12" s="11" t="s">
        <v>147</v>
      </c>
    </row>
    <row r="13" customFormat="false" ht="19.5" hidden="false" customHeight="true" outlineLevel="0" collapsed="false">
      <c r="A13" s="11" t="s">
        <v>221</v>
      </c>
      <c r="B13" s="11" t="s">
        <v>93</v>
      </c>
      <c r="C13" s="13" t="s">
        <v>94</v>
      </c>
      <c r="D13" s="11" t="s">
        <v>222</v>
      </c>
      <c r="E13" s="14" t="n">
        <v>9</v>
      </c>
      <c r="F13" s="14" t="n">
        <v>400000</v>
      </c>
      <c r="G13" s="14" t="n">
        <f aca="false">E13*F13</f>
        <v>3600000</v>
      </c>
      <c r="H13" s="13" t="s">
        <v>95</v>
      </c>
      <c r="I13" s="11" t="s">
        <v>70</v>
      </c>
    </row>
    <row r="14" customFormat="false" ht="19.5" hidden="false" customHeight="true" outlineLevel="0" collapsed="false">
      <c r="A14" s="11"/>
      <c r="B14" s="11" t="s">
        <v>96</v>
      </c>
      <c r="C14" s="13" t="s">
        <v>97</v>
      </c>
      <c r="D14" s="11" t="s">
        <v>223</v>
      </c>
      <c r="E14" s="14" t="n">
        <v>1</v>
      </c>
      <c r="F14" s="14" t="n">
        <v>800000</v>
      </c>
      <c r="G14" s="14" t="n">
        <f aca="false">E14*F14</f>
        <v>800000</v>
      </c>
      <c r="H14" s="13"/>
      <c r="I14" s="11" t="s">
        <v>70</v>
      </c>
    </row>
    <row r="15" customFormat="false" ht="19.5" hidden="false" customHeight="true" outlineLevel="0" collapsed="false">
      <c r="A15" s="11" t="s">
        <v>146</v>
      </c>
      <c r="B15" s="11" t="s">
        <v>98</v>
      </c>
      <c r="C15" s="13" t="s">
        <v>99</v>
      </c>
      <c r="D15" s="11" t="s">
        <v>74</v>
      </c>
      <c r="E15" s="14" t="n">
        <v>1</v>
      </c>
      <c r="F15" s="14" t="n">
        <v>3680000</v>
      </c>
      <c r="G15" s="14" t="n">
        <f aca="false">E15*F15</f>
        <v>3680000</v>
      </c>
      <c r="H15" s="13"/>
      <c r="I15" s="11" t="s">
        <v>146</v>
      </c>
    </row>
    <row r="16" customFormat="false" ht="19.5" hidden="false" customHeight="true" outlineLevel="0" collapsed="false">
      <c r="A16" s="11" t="s">
        <v>221</v>
      </c>
      <c r="B16" s="11" t="s">
        <v>100</v>
      </c>
      <c r="C16" s="13"/>
      <c r="D16" s="11" t="s">
        <v>74</v>
      </c>
      <c r="E16" s="14" t="n">
        <v>1</v>
      </c>
      <c r="F16" s="14" t="n">
        <v>1000000</v>
      </c>
      <c r="G16" s="14" t="n">
        <f aca="false">E16*F16</f>
        <v>1000000</v>
      </c>
      <c r="H16" s="13"/>
      <c r="I16" s="11" t="s">
        <v>70</v>
      </c>
    </row>
    <row r="17" customFormat="false" ht="19.5" hidden="false" customHeight="true" outlineLevel="0" collapsed="false">
      <c r="A17" s="11"/>
      <c r="B17" s="11" t="s">
        <v>101</v>
      </c>
      <c r="C17" s="13" t="s">
        <v>102</v>
      </c>
      <c r="D17" s="11" t="s">
        <v>222</v>
      </c>
      <c r="E17" s="14" t="n">
        <v>24</v>
      </c>
      <c r="F17" s="14" t="n">
        <v>100000</v>
      </c>
      <c r="G17" s="14" t="n">
        <f aca="false">E17*F17</f>
        <v>2400000</v>
      </c>
      <c r="H17" s="13" t="s">
        <v>103</v>
      </c>
      <c r="I17" s="11" t="s">
        <v>70</v>
      </c>
    </row>
    <row r="18" customFormat="false" ht="19.5" hidden="false" customHeight="true" outlineLevel="0" collapsed="false">
      <c r="A18" s="11" t="s">
        <v>70</v>
      </c>
      <c r="B18" s="11" t="s">
        <v>70</v>
      </c>
      <c r="C18" s="13" t="s">
        <v>104</v>
      </c>
      <c r="D18" s="11" t="s">
        <v>74</v>
      </c>
      <c r="E18" s="14" t="n">
        <v>1</v>
      </c>
      <c r="F18" s="14" t="n">
        <v>1400000</v>
      </c>
      <c r="G18" s="14" t="n">
        <f aca="false">E18*F18</f>
        <v>1400000</v>
      </c>
      <c r="H18" s="13" t="s">
        <v>105</v>
      </c>
      <c r="I18" s="11" t="s">
        <v>70</v>
      </c>
    </row>
    <row r="19" customFormat="false" ht="19.5" hidden="false" customHeight="true" outlineLevel="0" collapsed="false">
      <c r="A19" s="47" t="s">
        <v>227</v>
      </c>
      <c r="B19" s="47"/>
      <c r="C19" s="47"/>
      <c r="D19" s="47"/>
      <c r="E19" s="47"/>
      <c r="F19" s="47"/>
      <c r="G19" s="48" t="n">
        <f aca="false">SUMIF($I$8:$I$18,"재료비",$G$8:$G$18)</f>
        <v>3680000</v>
      </c>
      <c r="H19" s="20"/>
      <c r="I19" s="20"/>
    </row>
    <row r="20" customFormat="false" ht="19.5" hidden="false" customHeight="true" outlineLevel="0" collapsed="false">
      <c r="A20" s="47" t="s">
        <v>228</v>
      </c>
      <c r="B20" s="47"/>
      <c r="C20" s="47"/>
      <c r="D20" s="47"/>
      <c r="E20" s="47"/>
      <c r="F20" s="47"/>
      <c r="G20" s="48" t="n">
        <f aca="false">SUMIF($I$8:$I$18,"노무비",$G$8:$G$18)</f>
        <v>9850000</v>
      </c>
      <c r="H20" s="20"/>
      <c r="I20" s="20"/>
    </row>
    <row r="21" customFormat="false" ht="19.5" hidden="false" customHeight="true" outlineLevel="0" collapsed="false">
      <c r="A21" s="47" t="s">
        <v>229</v>
      </c>
      <c r="B21" s="47"/>
      <c r="C21" s="47"/>
      <c r="D21" s="47"/>
      <c r="E21" s="47"/>
      <c r="F21" s="47"/>
      <c r="G21" s="48" t="n">
        <f aca="false">SUMIF($I$8:$I$18,"경비",$G$8:$G$18)</f>
        <v>9200000</v>
      </c>
      <c r="H21" s="20"/>
      <c r="I21" s="20"/>
    </row>
    <row r="22" customFormat="false" ht="19.5" hidden="false" customHeight="true" outlineLevel="0" collapsed="false">
      <c r="A22" s="47" t="s">
        <v>148</v>
      </c>
      <c r="B22" s="47"/>
      <c r="C22" s="47"/>
      <c r="D22" s="47"/>
      <c r="E22" s="47"/>
      <c r="F22" s="47"/>
      <c r="G22" s="48" t="n">
        <f aca="false">G20*원가계산서!$D$26</f>
        <v>350660</v>
      </c>
      <c r="H22" s="20" t="s">
        <v>230</v>
      </c>
      <c r="I22" s="20"/>
    </row>
    <row r="23" customFormat="false" ht="19.5" hidden="false" customHeight="true" outlineLevel="0" collapsed="false">
      <c r="A23" s="47" t="s">
        <v>149</v>
      </c>
      <c r="B23" s="47"/>
      <c r="C23" s="47"/>
      <c r="D23" s="47"/>
      <c r="E23" s="47"/>
      <c r="F23" s="47"/>
      <c r="G23" s="48" t="n">
        <f aca="false">G20*원가계산서!$D$27</f>
        <v>113275</v>
      </c>
      <c r="H23" s="20" t="s">
        <v>231</v>
      </c>
      <c r="I23" s="20"/>
    </row>
    <row r="24" customFormat="false" ht="19.5" hidden="false" customHeight="true" outlineLevel="0" collapsed="false">
      <c r="A24" s="47" t="s">
        <v>150</v>
      </c>
      <c r="B24" s="47"/>
      <c r="C24" s="47"/>
      <c r="D24" s="47"/>
      <c r="E24" s="47"/>
      <c r="F24" s="47"/>
      <c r="G24" s="48" t="n">
        <f aca="false">(G19+G20)*원가계산서!$D$28</f>
        <v>420783</v>
      </c>
      <c r="H24" s="20" t="s">
        <v>232</v>
      </c>
      <c r="I24" s="20"/>
    </row>
    <row r="25" customFormat="false" ht="19.5" hidden="false" customHeight="true" outlineLevel="0" collapsed="false">
      <c r="A25" s="18" t="s">
        <v>151</v>
      </c>
      <c r="B25" s="18"/>
      <c r="C25" s="18"/>
      <c r="D25" s="18"/>
      <c r="E25" s="18"/>
      <c r="F25" s="18"/>
      <c r="G25" s="19" t="n">
        <f aca="false">SUM(G19:G24)</f>
        <v>23614718</v>
      </c>
      <c r="H25" s="20"/>
      <c r="I25" s="20"/>
    </row>
    <row r="26" customFormat="false" ht="19.5" hidden="false" customHeight="true" outlineLevel="0" collapsed="false">
      <c r="A26" s="47" t="s">
        <v>152</v>
      </c>
      <c r="B26" s="47"/>
      <c r="C26" s="47"/>
      <c r="D26" s="47"/>
      <c r="E26" s="47"/>
      <c r="F26" s="47"/>
      <c r="G26" s="48" t="n">
        <f aca="false">G25*원가계산서!$D$29</f>
        <v>1180735.9</v>
      </c>
      <c r="H26" s="20" t="s">
        <v>233</v>
      </c>
      <c r="I26" s="20"/>
    </row>
    <row r="27" customFormat="false" ht="19.5" hidden="false" customHeight="true" outlineLevel="0" collapsed="false">
      <c r="A27" s="47" t="s">
        <v>153</v>
      </c>
      <c r="B27" s="47"/>
      <c r="C27" s="47"/>
      <c r="D27" s="47"/>
      <c r="E27" s="47"/>
      <c r="F27" s="47"/>
      <c r="G27" s="48" t="n">
        <f aca="false">(G20+G21+G22+G23+G24+G26)*원가계산서!$D$30</f>
        <v>3167318.085</v>
      </c>
      <c r="H27" s="20" t="s">
        <v>234</v>
      </c>
      <c r="I27" s="20"/>
    </row>
    <row r="28" customFormat="false" ht="19.5" hidden="false" customHeight="true" outlineLevel="0" collapsed="false">
      <c r="A28" s="47" t="s">
        <v>154</v>
      </c>
      <c r="B28" s="47"/>
      <c r="C28" s="47"/>
      <c r="D28" s="47"/>
      <c r="E28" s="47"/>
      <c r="F28" s="47"/>
      <c r="G28" s="48" t="n">
        <f aca="false">-MOD(G25+G26+G27,1000)</f>
        <v>-771.984999999404</v>
      </c>
      <c r="H28" s="20" t="s">
        <v>235</v>
      </c>
      <c r="I28" s="20"/>
    </row>
    <row r="29" customFormat="false" ht="19.5" hidden="false" customHeight="true" outlineLevel="0" collapsed="false">
      <c r="A29" s="49" t="s">
        <v>119</v>
      </c>
      <c r="B29" s="49"/>
      <c r="C29" s="49"/>
      <c r="D29" s="49"/>
      <c r="E29" s="49"/>
      <c r="F29" s="49"/>
      <c r="G29" s="50" t="n">
        <f aca="false">G25+G26+G27+G28</f>
        <v>27962000</v>
      </c>
      <c r="H29" s="51" t="s">
        <v>200</v>
      </c>
      <c r="I29" s="51"/>
    </row>
    <row r="31" customFormat="false" ht="11.9" hidden="false" customHeight="false" outlineLevel="0" collapsed="false">
      <c r="A31" s="52" t="s">
        <v>236</v>
      </c>
      <c r="B31" s="52"/>
      <c r="C31" s="52"/>
      <c r="D31" s="52"/>
      <c r="E31" s="52"/>
      <c r="F31" s="52"/>
      <c r="G31" s="52"/>
      <c r="H31" s="52"/>
      <c r="I31" s="52"/>
    </row>
    <row r="32" customFormat="false" ht="11.9" hidden="false" customHeight="false" outlineLevel="0" collapsed="false">
      <c r="A32" s="52" t="s">
        <v>237</v>
      </c>
      <c r="B32" s="52"/>
      <c r="C32" s="52"/>
      <c r="D32" s="52"/>
      <c r="E32" s="52"/>
      <c r="F32" s="52"/>
      <c r="G32" s="52"/>
      <c r="H32" s="52"/>
      <c r="I32" s="52"/>
    </row>
  </sheetData>
  <mergeCells count="30">
    <mergeCell ref="A1:I2"/>
    <mergeCell ref="A3:I3"/>
    <mergeCell ref="A5:I5"/>
    <mergeCell ref="A8:A12"/>
    <mergeCell ref="A13:A14"/>
    <mergeCell ref="A16:A17"/>
    <mergeCell ref="A19:F19"/>
    <mergeCell ref="H19:I19"/>
    <mergeCell ref="A20:F20"/>
    <mergeCell ref="H20:I20"/>
    <mergeCell ref="A21:F21"/>
    <mergeCell ref="H21:I21"/>
    <mergeCell ref="A22:F22"/>
    <mergeCell ref="H22:I22"/>
    <mergeCell ref="A23:F23"/>
    <mergeCell ref="H23:I23"/>
    <mergeCell ref="A24:F24"/>
    <mergeCell ref="H24:I24"/>
    <mergeCell ref="A25:F25"/>
    <mergeCell ref="H25:I25"/>
    <mergeCell ref="A26:F26"/>
    <mergeCell ref="H26:I26"/>
    <mergeCell ref="A27:F27"/>
    <mergeCell ref="H27:I27"/>
    <mergeCell ref="A28:F28"/>
    <mergeCell ref="H28:I28"/>
    <mergeCell ref="A29:F29"/>
    <mergeCell ref="H29:I29"/>
    <mergeCell ref="A31:I31"/>
    <mergeCell ref="A32:I32"/>
  </mergeCells>
  <printOptions headings="false" gridLines="false" gridLinesSet="true" horizontalCentered="false" verticalCentered="false"/>
  <pageMargins left="0.629861111111111" right="0.629861111111111" top="0.709722222222222" bottom="0.709722222222222" header="0.511811023622047" footer="0.3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&amp;L&amp;"Pretendard,Regular"&amp;8 엔엠솔루션  |  경기도 평택시 고덕동 도시지원로 121 지식공장아이타워 906호  |  대표전화 1800-5901  |  직통 010-2369-3691  |  nm-solution.co.kr&amp;R&amp;"Pretendard,Regular"&amp;8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38"/>
    <col collapsed="false" customWidth="true" hidden="false" outlineLevel="0" max="9" min="9" style="0" width="7"/>
  </cols>
  <sheetData>
    <row r="1" customFormat="false" ht="15" hidden="false" customHeight="true" outlineLevel="0" collapsed="false">
      <c r="A1" s="28" t="s">
        <v>216</v>
      </c>
      <c r="B1" s="28"/>
      <c r="C1" s="28"/>
      <c r="D1" s="28"/>
      <c r="E1" s="28"/>
      <c r="F1" s="28"/>
      <c r="G1" s="28"/>
      <c r="H1" s="28"/>
      <c r="I1" s="28"/>
    </row>
    <row r="2" customFormat="false" ht="15" hidden="false" customHeight="false" outlineLevel="0" collapsed="false">
      <c r="A2" s="28"/>
      <c r="B2" s="28"/>
      <c r="C2" s="28"/>
      <c r="D2" s="28"/>
      <c r="E2" s="28"/>
      <c r="F2" s="28"/>
      <c r="G2" s="28"/>
      <c r="H2" s="28"/>
      <c r="I2" s="28"/>
    </row>
    <row r="3" customFormat="false" ht="15" hidden="false" customHeight="true" outlineLevel="0" collapsed="false">
      <c r="A3" s="29" t="s">
        <v>217</v>
      </c>
      <c r="B3" s="29"/>
      <c r="C3" s="29"/>
      <c r="D3" s="29"/>
      <c r="E3" s="29"/>
      <c r="F3" s="29"/>
      <c r="G3" s="29"/>
      <c r="H3" s="29"/>
      <c r="I3" s="29"/>
    </row>
    <row r="5" customFormat="false" ht="15" hidden="false" customHeight="true" outlineLevel="0" collapsed="false">
      <c r="A5" s="46" t="s">
        <v>239</v>
      </c>
      <c r="B5" s="46"/>
      <c r="C5" s="46"/>
      <c r="D5" s="46"/>
      <c r="E5" s="46"/>
      <c r="F5" s="46"/>
      <c r="G5" s="46"/>
      <c r="H5" s="46"/>
      <c r="I5" s="46"/>
    </row>
    <row r="7" customFormat="false" ht="15" hidden="false" customHeight="false" outlineLevel="0" collapsed="false">
      <c r="A7" s="10" t="s">
        <v>219</v>
      </c>
      <c r="B7" s="10" t="s">
        <v>30</v>
      </c>
      <c r="C7" s="10" t="s">
        <v>31</v>
      </c>
      <c r="D7" s="10" t="s">
        <v>33</v>
      </c>
      <c r="E7" s="10" t="s">
        <v>32</v>
      </c>
      <c r="F7" s="10" t="s">
        <v>34</v>
      </c>
      <c r="G7" s="10" t="s">
        <v>35</v>
      </c>
      <c r="H7" s="10" t="s">
        <v>36</v>
      </c>
      <c r="I7" s="10" t="s">
        <v>140</v>
      </c>
    </row>
    <row r="8" customFormat="false" ht="19.5" hidden="false" customHeight="true" outlineLevel="0" collapsed="false">
      <c r="A8" s="11" t="s">
        <v>146</v>
      </c>
      <c r="B8" s="11" t="s">
        <v>109</v>
      </c>
      <c r="C8" s="13" t="s">
        <v>110</v>
      </c>
      <c r="D8" s="11" t="s">
        <v>74</v>
      </c>
      <c r="E8" s="14" t="n">
        <v>1</v>
      </c>
      <c r="F8" s="14" t="n">
        <v>1800000</v>
      </c>
      <c r="G8" s="14" t="n">
        <f aca="false">E8*F8</f>
        <v>1800000</v>
      </c>
      <c r="H8" s="13" t="s">
        <v>111</v>
      </c>
      <c r="I8" s="11" t="s">
        <v>146</v>
      </c>
    </row>
    <row r="9" customFormat="false" ht="19.5" hidden="false" customHeight="true" outlineLevel="0" collapsed="false">
      <c r="A9" s="11" t="s">
        <v>240</v>
      </c>
      <c r="B9" s="11" t="s">
        <v>112</v>
      </c>
      <c r="C9" s="13" t="s">
        <v>113</v>
      </c>
      <c r="D9" s="11" t="s">
        <v>74</v>
      </c>
      <c r="E9" s="14" t="n">
        <v>1</v>
      </c>
      <c r="F9" s="14" t="n">
        <v>160000</v>
      </c>
      <c r="G9" s="14" t="n">
        <f aca="false">E9*F9</f>
        <v>160000</v>
      </c>
      <c r="H9" s="13"/>
      <c r="I9" s="11" t="s">
        <v>70</v>
      </c>
    </row>
    <row r="10" customFormat="false" ht="19.5" hidden="false" customHeight="true" outlineLevel="0" collapsed="false">
      <c r="A10" s="11" t="s">
        <v>147</v>
      </c>
      <c r="B10" s="11" t="s">
        <v>114</v>
      </c>
      <c r="C10" s="13" t="s">
        <v>115</v>
      </c>
      <c r="D10" s="11" t="s">
        <v>220</v>
      </c>
      <c r="E10" s="14" t="n">
        <v>3</v>
      </c>
      <c r="F10" s="14" t="n">
        <v>350000</v>
      </c>
      <c r="G10" s="14" t="n">
        <f aca="false">E10*F10</f>
        <v>1050000</v>
      </c>
      <c r="H10" s="13" t="s">
        <v>116</v>
      </c>
      <c r="I10" s="11" t="s">
        <v>147</v>
      </c>
    </row>
    <row r="11" customFormat="false" ht="19.5" hidden="false" customHeight="true" outlineLevel="0" collapsed="false">
      <c r="A11" s="47" t="s">
        <v>227</v>
      </c>
      <c r="B11" s="47"/>
      <c r="C11" s="47"/>
      <c r="D11" s="47"/>
      <c r="E11" s="47"/>
      <c r="F11" s="47"/>
      <c r="G11" s="48" t="n">
        <f aca="false">SUMIF($I$8:$I$10,"재료비",$G$8:$G$10)</f>
        <v>1800000</v>
      </c>
      <c r="H11" s="20"/>
      <c r="I11" s="20"/>
    </row>
    <row r="12" customFormat="false" ht="19.5" hidden="false" customHeight="true" outlineLevel="0" collapsed="false">
      <c r="A12" s="47" t="s">
        <v>228</v>
      </c>
      <c r="B12" s="47"/>
      <c r="C12" s="47"/>
      <c r="D12" s="47"/>
      <c r="E12" s="47"/>
      <c r="F12" s="47"/>
      <c r="G12" s="48" t="n">
        <f aca="false">SUMIF($I$8:$I$10,"노무비",$G$8:$G$10)</f>
        <v>1050000</v>
      </c>
      <c r="H12" s="20"/>
      <c r="I12" s="20"/>
    </row>
    <row r="13" customFormat="false" ht="19.5" hidden="false" customHeight="true" outlineLevel="0" collapsed="false">
      <c r="A13" s="47" t="s">
        <v>229</v>
      </c>
      <c r="B13" s="47"/>
      <c r="C13" s="47"/>
      <c r="D13" s="47"/>
      <c r="E13" s="47"/>
      <c r="F13" s="47"/>
      <c r="G13" s="48" t="n">
        <f aca="false">SUMIF($I$8:$I$10,"경비",$G$8:$G$10)</f>
        <v>160000</v>
      </c>
      <c r="H13" s="20"/>
      <c r="I13" s="20"/>
    </row>
    <row r="14" customFormat="false" ht="19.5" hidden="false" customHeight="true" outlineLevel="0" collapsed="false">
      <c r="A14" s="47" t="s">
        <v>148</v>
      </c>
      <c r="B14" s="47"/>
      <c r="C14" s="47"/>
      <c r="D14" s="47"/>
      <c r="E14" s="47"/>
      <c r="F14" s="47"/>
      <c r="G14" s="48" t="n">
        <f aca="false">0</f>
        <v>0</v>
      </c>
      <c r="H14" s="20" t="s">
        <v>241</v>
      </c>
      <c r="I14" s="20"/>
    </row>
    <row r="15" customFormat="false" ht="19.5" hidden="false" customHeight="true" outlineLevel="0" collapsed="false">
      <c r="A15" s="47" t="s">
        <v>149</v>
      </c>
      <c r="B15" s="47"/>
      <c r="C15" s="47"/>
      <c r="D15" s="47"/>
      <c r="E15" s="47"/>
      <c r="F15" s="47"/>
      <c r="G15" s="48" t="n">
        <f aca="false">0</f>
        <v>0</v>
      </c>
      <c r="H15" s="20" t="s">
        <v>241</v>
      </c>
      <c r="I15" s="20"/>
    </row>
    <row r="16" customFormat="false" ht="19.5" hidden="false" customHeight="true" outlineLevel="0" collapsed="false">
      <c r="A16" s="47" t="s">
        <v>150</v>
      </c>
      <c r="B16" s="47"/>
      <c r="C16" s="47"/>
      <c r="D16" s="47"/>
      <c r="E16" s="47"/>
      <c r="F16" s="47"/>
      <c r="G16" s="48" t="n">
        <f aca="false">0</f>
        <v>0</v>
      </c>
      <c r="H16" s="20" t="s">
        <v>241</v>
      </c>
      <c r="I16" s="20"/>
    </row>
    <row r="17" customFormat="false" ht="19.5" hidden="false" customHeight="true" outlineLevel="0" collapsed="false">
      <c r="A17" s="18" t="s">
        <v>151</v>
      </c>
      <c r="B17" s="18"/>
      <c r="C17" s="18"/>
      <c r="D17" s="18"/>
      <c r="E17" s="18"/>
      <c r="F17" s="18"/>
      <c r="G17" s="19" t="n">
        <f aca="false">SUM(G11:G16)</f>
        <v>3010000</v>
      </c>
      <c r="H17" s="20"/>
      <c r="I17" s="20"/>
    </row>
    <row r="18" customFormat="false" ht="19.5" hidden="false" customHeight="true" outlineLevel="0" collapsed="false">
      <c r="A18" s="47" t="s">
        <v>152</v>
      </c>
      <c r="B18" s="47"/>
      <c r="C18" s="47"/>
      <c r="D18" s="47"/>
      <c r="E18" s="47"/>
      <c r="F18" s="47"/>
      <c r="G18" s="48" t="n">
        <f aca="false">0</f>
        <v>0</v>
      </c>
      <c r="H18" s="20" t="s">
        <v>241</v>
      </c>
      <c r="I18" s="20"/>
    </row>
    <row r="19" customFormat="false" ht="19.5" hidden="false" customHeight="true" outlineLevel="0" collapsed="false">
      <c r="A19" s="47" t="s">
        <v>153</v>
      </c>
      <c r="B19" s="47"/>
      <c r="C19" s="47"/>
      <c r="D19" s="47"/>
      <c r="E19" s="47"/>
      <c r="F19" s="47"/>
      <c r="G19" s="48" t="n">
        <f aca="false">0</f>
        <v>0</v>
      </c>
      <c r="H19" s="20" t="s">
        <v>241</v>
      </c>
      <c r="I19" s="20"/>
    </row>
    <row r="20" customFormat="false" ht="19.5" hidden="false" customHeight="true" outlineLevel="0" collapsed="false">
      <c r="A20" s="47" t="s">
        <v>154</v>
      </c>
      <c r="B20" s="47"/>
      <c r="C20" s="47"/>
      <c r="D20" s="47"/>
      <c r="E20" s="47"/>
      <c r="F20" s="47"/>
      <c r="G20" s="48" t="n">
        <f aca="false">-MOD(G17+G18+G19,1000)</f>
        <v>-0</v>
      </c>
      <c r="H20" s="20" t="s">
        <v>235</v>
      </c>
      <c r="I20" s="20"/>
    </row>
    <row r="21" customFormat="false" ht="19.5" hidden="false" customHeight="true" outlineLevel="0" collapsed="false">
      <c r="A21" s="49" t="s">
        <v>119</v>
      </c>
      <c r="B21" s="49"/>
      <c r="C21" s="49"/>
      <c r="D21" s="49"/>
      <c r="E21" s="49"/>
      <c r="F21" s="49"/>
      <c r="G21" s="50" t="n">
        <f aca="false">G17+G18+G19+G20</f>
        <v>3010000</v>
      </c>
      <c r="H21" s="51" t="s">
        <v>200</v>
      </c>
      <c r="I21" s="51"/>
    </row>
    <row r="23" customFormat="false" ht="11.9" hidden="false" customHeight="false" outlineLevel="0" collapsed="false">
      <c r="A23" s="52" t="s">
        <v>236</v>
      </c>
      <c r="B23" s="52"/>
      <c r="C23" s="52"/>
      <c r="D23" s="52"/>
      <c r="E23" s="52"/>
      <c r="F23" s="52"/>
      <c r="G23" s="52"/>
      <c r="H23" s="52"/>
      <c r="I23" s="52"/>
    </row>
    <row r="24" customFormat="false" ht="11.9" hidden="false" customHeight="false" outlineLevel="0" collapsed="false">
      <c r="A24" s="52" t="s">
        <v>237</v>
      </c>
      <c r="B24" s="52"/>
      <c r="C24" s="52"/>
      <c r="D24" s="52"/>
      <c r="E24" s="52"/>
      <c r="F24" s="52"/>
      <c r="G24" s="52"/>
      <c r="H24" s="52"/>
      <c r="I24" s="52"/>
    </row>
  </sheetData>
  <mergeCells count="27">
    <mergeCell ref="A1:I2"/>
    <mergeCell ref="A3:I3"/>
    <mergeCell ref="A5:I5"/>
    <mergeCell ref="A11:F11"/>
    <mergeCell ref="H11:I11"/>
    <mergeCell ref="A12:F12"/>
    <mergeCell ref="H12:I12"/>
    <mergeCell ref="A13:F13"/>
    <mergeCell ref="H13:I13"/>
    <mergeCell ref="A14:F14"/>
    <mergeCell ref="H14:I14"/>
    <mergeCell ref="A15:F15"/>
    <mergeCell ref="H15:I15"/>
    <mergeCell ref="A16:F16"/>
    <mergeCell ref="H16:I16"/>
    <mergeCell ref="A17:F17"/>
    <mergeCell ref="H17:I17"/>
    <mergeCell ref="A18:F18"/>
    <mergeCell ref="H18:I18"/>
    <mergeCell ref="A19:F19"/>
    <mergeCell ref="H19:I19"/>
    <mergeCell ref="A20:F20"/>
    <mergeCell ref="H20:I20"/>
    <mergeCell ref="A21:F21"/>
    <mergeCell ref="H21:I21"/>
    <mergeCell ref="A23:I23"/>
    <mergeCell ref="A24:I24"/>
  </mergeCells>
  <printOptions headings="false" gridLines="false" gridLinesSet="true" horizontalCentered="false" verticalCentered="false"/>
  <pageMargins left="0.629861111111111" right="0.629861111111111" top="0.709722222222222" bottom="0.709722222222222" header="0.511811023622047" footer="0.3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&amp;L&amp;"Pretendard,Regular"&amp;8 엔엠솔루션  |  경기도 평택시 고덕동 도시지원로 121 지식공장아이타워 906호  |  대표전화 1800-5901  |  직통 010-2369-3691  |  nm-solution.co.kr&amp;R&amp;"Pretendard,Regular"&amp;8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6"/>
    <col collapsed="false" customWidth="true" hidden="false" outlineLevel="0" max="5" min="5" style="0" width="30"/>
  </cols>
  <sheetData>
    <row r="1" customFormat="false" ht="18.65" hidden="false" customHeight="false" outlineLevel="0" collapsed="false">
      <c r="A1" s="41" t="s">
        <v>242</v>
      </c>
    </row>
    <row r="3" customFormat="false" ht="15" hidden="false" customHeight="false" outlineLevel="0" collapsed="false">
      <c r="A3" s="10" t="s">
        <v>243</v>
      </c>
      <c r="B3" s="10" t="s">
        <v>244</v>
      </c>
      <c r="C3" s="10" t="s">
        <v>245</v>
      </c>
      <c r="D3" s="10" t="s">
        <v>246</v>
      </c>
      <c r="E3" s="10" t="s">
        <v>247</v>
      </c>
    </row>
    <row r="4" customFormat="false" ht="15" hidden="false" customHeight="false" outlineLevel="0" collapsed="false">
      <c r="A4" s="53" t="n">
        <v>10</v>
      </c>
      <c r="B4" s="53" t="n">
        <v>2</v>
      </c>
      <c r="C4" s="54" t="n">
        <f aca="false">A4*B4</f>
        <v>20</v>
      </c>
      <c r="D4" s="53" t="n">
        <v>72.4</v>
      </c>
      <c r="E4" s="55" t="n">
        <f aca="false">C4*D4</f>
        <v>1448</v>
      </c>
    </row>
    <row r="5" customFormat="false" ht="15" hidden="false" customHeight="false" outlineLevel="0" collapsed="false">
      <c r="A5" s="53" t="n">
        <v>3</v>
      </c>
      <c r="B5" s="53" t="n">
        <v>2</v>
      </c>
      <c r="C5" s="54" t="n">
        <f aca="false">A5*B5</f>
        <v>6</v>
      </c>
      <c r="D5" s="53" t="n">
        <v>72.4</v>
      </c>
      <c r="E5" s="55" t="n">
        <f aca="false">C5*D5</f>
        <v>434.4</v>
      </c>
    </row>
    <row r="6" customFormat="false" ht="15" hidden="false" customHeight="false" outlineLevel="0" collapsed="false">
      <c r="A6" s="56"/>
      <c r="B6" s="57" t="s">
        <v>144</v>
      </c>
      <c r="C6" s="56" t="n">
        <f aca="false">SUM(C4:C5)</f>
        <v>26</v>
      </c>
      <c r="D6" s="56"/>
      <c r="E6" s="58" t="n">
        <f aca="false">SUM(E4:E5)</f>
        <v>1882.4</v>
      </c>
    </row>
    <row r="9" customFormat="false" ht="15" hidden="false" customHeight="false" outlineLevel="0" collapsed="false">
      <c r="A9" s="15" t="s">
        <v>219</v>
      </c>
      <c r="B9" s="15" t="s">
        <v>247</v>
      </c>
      <c r="C9" s="15" t="s">
        <v>32</v>
      </c>
      <c r="D9" s="15" t="s">
        <v>176</v>
      </c>
      <c r="E9" s="15" t="s">
        <v>36</v>
      </c>
    </row>
    <row r="10" customFormat="false" ht="15" hidden="false" customHeight="false" outlineLevel="0" collapsed="false">
      <c r="A10" s="13" t="s">
        <v>109</v>
      </c>
      <c r="B10" s="59" t="n">
        <f aca="false">E6</f>
        <v>1882.4</v>
      </c>
      <c r="C10" s="60" t="s">
        <v>187</v>
      </c>
      <c r="D10" s="14" t="n">
        <f aca="false">베이스!G8</f>
        <v>1800000</v>
      </c>
      <c r="E10" s="13" t="s">
        <v>248</v>
      </c>
    </row>
    <row r="12" customFormat="false" ht="15" hidden="false" customHeight="false" outlineLevel="0" collapsed="false">
      <c r="A12" s="42" t="s">
        <v>249</v>
      </c>
    </row>
  </sheetData>
  <printOptions headings="false" gridLines="false" gridLinesSet="true" horizontalCentered="false" verticalCentered="false"/>
  <pageMargins left="0.629861111111111" right="0.629861111111111" top="0.709722222222222" bottom="0.709722222222222" header="0.511811023622047" footer="0.3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&amp;L&amp;"Pretendard,Regular"&amp;8 엔엠솔루션  |  경기도 평택시 고덕동 도시지원로 121 지식공장아이타워 906호  |  대표전화 1800-5901  |  직통 010-2369-3691  |  nm-solution.co.kr&amp;R&amp;"Pretendard,Regular"&amp;8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14" min="3" style="0" width="5.51"/>
  </cols>
  <sheetData>
    <row r="1" customFormat="false" ht="18.65" hidden="false" customHeight="false" outlineLevel="0" collapsed="false">
      <c r="A1" s="41" t="s">
        <v>250</v>
      </c>
    </row>
    <row r="3" customFormat="false" ht="30" hidden="false" customHeight="true" outlineLevel="0" collapsed="false">
      <c r="A3" s="18" t="s">
        <v>251</v>
      </c>
      <c r="B3" s="18" t="s">
        <v>252</v>
      </c>
      <c r="C3" s="61" t="s">
        <v>253</v>
      </c>
      <c r="D3" s="61" t="s">
        <v>254</v>
      </c>
      <c r="E3" s="61" t="s">
        <v>255</v>
      </c>
      <c r="F3" s="61" t="s">
        <v>256</v>
      </c>
      <c r="G3" s="61" t="s">
        <v>257</v>
      </c>
      <c r="H3" s="61" t="s">
        <v>258</v>
      </c>
      <c r="I3" s="61" t="s">
        <v>259</v>
      </c>
      <c r="J3" s="61" t="s">
        <v>260</v>
      </c>
      <c r="K3" s="61" t="s">
        <v>261</v>
      </c>
      <c r="L3" s="61" t="s">
        <v>262</v>
      </c>
      <c r="M3" s="61" t="s">
        <v>263</v>
      </c>
      <c r="N3" s="61" t="s">
        <v>264</v>
      </c>
    </row>
    <row r="4" customFormat="false" ht="15" hidden="false" customHeight="false" outlineLevel="0" collapsed="false">
      <c r="A4" s="53" t="s">
        <v>265</v>
      </c>
      <c r="B4" s="53" t="s">
        <v>266</v>
      </c>
      <c r="C4" s="62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</row>
    <row r="5" customFormat="false" ht="15" hidden="false" customHeight="false" outlineLevel="0" collapsed="false">
      <c r="A5" s="53" t="s">
        <v>267</v>
      </c>
      <c r="B5" s="53" t="s">
        <v>268</v>
      </c>
      <c r="C5" s="62"/>
      <c r="D5" s="62"/>
      <c r="E5" s="62"/>
      <c r="F5" s="54"/>
      <c r="G5" s="54"/>
      <c r="H5" s="54"/>
      <c r="I5" s="54"/>
      <c r="J5" s="54"/>
      <c r="K5" s="54"/>
      <c r="L5" s="54"/>
      <c r="M5" s="54"/>
      <c r="N5" s="54"/>
    </row>
    <row r="6" customFormat="false" ht="15" hidden="false" customHeight="false" outlineLevel="0" collapsed="false">
      <c r="A6" s="53" t="s">
        <v>269</v>
      </c>
      <c r="B6" s="53" t="s">
        <v>270</v>
      </c>
      <c r="C6" s="54"/>
      <c r="D6" s="54"/>
      <c r="E6" s="54"/>
      <c r="F6" s="62"/>
      <c r="G6" s="54"/>
      <c r="H6" s="54"/>
      <c r="I6" s="54"/>
      <c r="J6" s="54"/>
      <c r="K6" s="54"/>
      <c r="L6" s="54"/>
      <c r="M6" s="54"/>
      <c r="N6" s="54"/>
    </row>
    <row r="7" customFormat="false" ht="15" hidden="false" customHeight="false" outlineLevel="0" collapsed="false">
      <c r="A7" s="53" t="s">
        <v>271</v>
      </c>
      <c r="B7" s="53" t="s">
        <v>272</v>
      </c>
      <c r="C7" s="54"/>
      <c r="D7" s="54"/>
      <c r="E7" s="54"/>
      <c r="F7" s="54"/>
      <c r="G7" s="62"/>
      <c r="H7" s="62"/>
      <c r="I7" s="54"/>
      <c r="J7" s="54"/>
      <c r="K7" s="54"/>
      <c r="L7" s="54"/>
      <c r="M7" s="54"/>
      <c r="N7" s="54"/>
    </row>
    <row r="8" customFormat="false" ht="15" hidden="false" customHeight="false" outlineLevel="0" collapsed="false">
      <c r="A8" s="53" t="s">
        <v>273</v>
      </c>
      <c r="B8" s="53" t="s">
        <v>274</v>
      </c>
      <c r="C8" s="54"/>
      <c r="D8" s="54"/>
      <c r="E8" s="54"/>
      <c r="F8" s="54"/>
      <c r="G8" s="54"/>
      <c r="H8" s="54"/>
      <c r="I8" s="62"/>
      <c r="J8" s="62"/>
      <c r="K8" s="54"/>
      <c r="L8" s="54"/>
      <c r="M8" s="54"/>
      <c r="N8" s="54"/>
    </row>
    <row r="9" customFormat="false" ht="15" hidden="false" customHeight="false" outlineLevel="0" collapsed="false">
      <c r="A9" s="53" t="s">
        <v>275</v>
      </c>
      <c r="B9" s="53" t="s">
        <v>276</v>
      </c>
      <c r="C9" s="54"/>
      <c r="D9" s="54"/>
      <c r="E9" s="54"/>
      <c r="F9" s="54"/>
      <c r="G9" s="54"/>
      <c r="H9" s="54"/>
      <c r="I9" s="54"/>
      <c r="J9" s="54"/>
      <c r="K9" s="62"/>
      <c r="L9" s="62"/>
      <c r="M9" s="62"/>
      <c r="N9" s="54"/>
    </row>
    <row r="10" customFormat="false" ht="15" hidden="false" customHeight="false" outlineLevel="0" collapsed="false">
      <c r="A10" s="53" t="s">
        <v>277</v>
      </c>
      <c r="B10" s="53" t="s">
        <v>270</v>
      </c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62"/>
    </row>
    <row r="11" customFormat="false" ht="15" hidden="false" customHeight="false" outlineLevel="0" collapsed="false">
      <c r="A11" s="53" t="s">
        <v>278</v>
      </c>
      <c r="B11" s="53" t="s">
        <v>266</v>
      </c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62"/>
    </row>
    <row r="13" customFormat="false" ht="15" hidden="false" customHeight="false" outlineLevel="0" collapsed="false">
      <c r="A13" s="42" t="s">
        <v>279</v>
      </c>
    </row>
  </sheetData>
  <printOptions headings="false" gridLines="false" gridLinesSet="true" horizontalCentered="false" verticalCentered="false"/>
  <pageMargins left="0.629861111111111" right="0.629861111111111" top="0.709722222222222" bottom="0.709722222222222" header="0.511811023622047" footer="0.3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&amp;L&amp;"Pretendard,Regular"&amp;8 엔엠솔루션  |  경기도 평택시 고덕동 도시지원로 121 지식공장아이타워 906호  |  대표전화 1800-5901  |  직통 010-2369-3691  |  nm-solution.co.kr&amp;R&amp;"Pretendard,Regular"&amp;8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2026-10-19T00:20:33Z</dcterms:created>
  <dc:creator>openpyxl</dc:creator>
  <dc:description/>
  <dc:language>en-US</dc:language>
  <cp:lastModifiedBy/>
  <dcterms:modified xsi:type="dcterms:W3CDTF">2026-10-19T00:20:33Z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